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500" firstSheet="0" activeTab="0" autoFilterDateGrouping="1"/>
  </bookViews>
  <sheets>
    <sheet xmlns:r="http://schemas.openxmlformats.org/officeDocument/2006/relationships" name="Lead 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arch Schedule" sheetId="3" state="visible" r:id="rId3"/>
  </sheets>
  <definedNames>
    <definedName name="_xlnm._FilterDatabase" localSheetId="0" hidden="1">'Lead Tracker'!$B$4:$O$4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charset val="1"/>
      <b val="1"/>
      <color rgb="FF1A6CF0"/>
      <sz val="14"/>
    </font>
    <font>
      <name val="Arial"/>
      <charset val="1"/>
      <color rgb="FF6B7280"/>
      <sz val="10"/>
    </font>
    <font>
      <name val="Arial"/>
      <charset val="1"/>
      <b val="1"/>
      <color rgb="FFFFFFFF"/>
      <sz val="11"/>
    </font>
    <font>
      <name val="Arial"/>
      <charset val="1"/>
      <color rgb="FF374151"/>
      <sz val="10"/>
    </font>
    <font>
      <name val="Arial"/>
      <charset val="1"/>
      <b val="1"/>
      <color rgb="FF6B7280"/>
      <sz val="9"/>
    </font>
    <font>
      <name val="Arial"/>
      <charset val="1"/>
      <b val="1"/>
      <color rgb="FF1A6CF0"/>
      <sz val="22"/>
    </font>
    <font>
      <name val="Arial"/>
      <charset val="1"/>
      <b val="1"/>
      <color rgb="FF0D1117"/>
      <sz val="12"/>
    </font>
    <font>
      <name val="Arial"/>
      <charset val="1"/>
      <b val="1"/>
      <color rgb="FF0D1117"/>
      <sz val="11"/>
    </font>
    <font>
      <name val="Arial"/>
      <charset val="1"/>
      <b val="1"/>
      <color rgb="FF16A34A"/>
      <sz val="11"/>
    </font>
    <font>
      <name val="Arial"/>
      <charset val="1"/>
      <b val="1"/>
      <color rgb="FF1A6CF0"/>
      <sz val="11"/>
    </font>
    <font>
      <name val="Arial"/>
      <charset val="1"/>
      <b val="1"/>
      <color rgb="FF16A34A"/>
      <sz val="13"/>
    </font>
    <font>
      <name val="Arial"/>
      <color rgb="FF374151"/>
      <sz val="10"/>
    </font>
    <font>
      <name val="Arial"/>
      <color rgb="FF374151"/>
      <sz val="10"/>
    </font>
    <font>
      <name val="Arial"/>
      <family val="2"/>
      <color rgb="FF374151"/>
      <sz val="10"/>
    </font>
    <font>
      <name val="Arial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FF1A6CF0"/>
        <bgColor rgb="FF0066CC"/>
      </patternFill>
    </fill>
    <fill>
      <patternFill patternType="solid">
        <fgColor rgb="FFF0F4FF"/>
        <bgColor rgb="FFE8F0FE"/>
      </patternFill>
    </fill>
    <fill>
      <patternFill patternType="solid">
        <fgColor rgb="FFE8F0FE"/>
        <bgColor rgb="FFF0F4FF"/>
      </patternFill>
    </fill>
    <fill>
      <patternFill patternType="solid">
        <fgColor rgb="FFFFF8E1"/>
        <bgColor rgb="FFFFFFFF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3" fontId="10" fillId="5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12" fillId="3" borderId="2" applyAlignment="1" pivotButton="0" quotePrefix="0" xfId="0">
      <alignment vertical="center"/>
    </xf>
    <xf numFmtId="0" fontId="12" fillId="3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/>
    </xf>
    <xf numFmtId="0" fontId="12" fillId="0" borderId="2" applyAlignment="1" pivotButton="0" quotePrefix="0" xfId="0">
      <alignment vertical="center" wrapText="1"/>
    </xf>
    <xf numFmtId="0" fontId="13" fillId="0" borderId="3" applyAlignment="1" pivotButton="0" quotePrefix="0" xfId="0">
      <alignment vertical="center"/>
    </xf>
    <xf numFmtId="0" fontId="13" fillId="0" borderId="3" applyAlignment="1" pivotButton="0" quotePrefix="0" xfId="0">
      <alignment vertical="center" wrapText="1"/>
    </xf>
    <xf numFmtId="0" fontId="13" fillId="3" borderId="3" applyAlignment="1" pivotButton="0" quotePrefix="0" xfId="0">
      <alignment vertical="center"/>
    </xf>
    <xf numFmtId="0" fontId="13" fillId="3" borderId="3" applyAlignment="1" pivotButton="0" quotePrefix="0" xfId="0">
      <alignment vertical="center" wrapText="1"/>
    </xf>
    <xf numFmtId="0" fontId="2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7" fillId="0" borderId="0" pivotButton="0" quotePrefix="0" xfId="0"/>
    <xf numFmtId="0" fontId="1" fillId="0" borderId="0" pivotButton="0" quotePrefix="0" xfId="0"/>
    <xf numFmtId="0" fontId="12" fillId="3" borderId="3" applyAlignment="1" pivotButton="0" quotePrefix="0" xfId="0">
      <alignment vertical="center"/>
    </xf>
    <xf numFmtId="0" fontId="12" fillId="0" borderId="3" applyAlignment="1" pivotButton="0" quotePrefix="0" xfId="0">
      <alignment vertical="center" wrapText="1"/>
    </xf>
    <xf numFmtId="0" fontId="12" fillId="3" borderId="3" applyAlignment="1" pivotButton="0" quotePrefix="0" xfId="0">
      <alignment vertical="center" wrapText="1"/>
    </xf>
    <xf numFmtId="0" fontId="14" fillId="0" borderId="3" applyAlignment="1" pivotButton="0" quotePrefix="0" xfId="0">
      <alignment vertical="center"/>
    </xf>
    <xf numFmtId="0" fontId="14" fillId="3" borderId="3" applyAlignment="1" pivotButton="0" quotePrefix="0" xfId="0">
      <alignment vertical="center"/>
    </xf>
    <xf numFmtId="0" fontId="15" fillId="0" borderId="4" applyAlignment="1" pivotButton="0" quotePrefix="0" xfId="0">
      <alignment vertical="center"/>
    </xf>
    <xf numFmtId="0" fontId="15" fillId="3" borderId="4" applyAlignment="1" pivotButton="0" quotePrefix="0" xfId="0">
      <alignment vertical="center"/>
    </xf>
    <xf numFmtId="0" fontId="15" fillId="3" borderId="4" applyAlignment="1" pivotButton="0" quotePrefix="0" xfId="0">
      <alignment vertical="center" wrapText="1"/>
    </xf>
    <xf numFmtId="0" fontId="15" fillId="0" borderId="4" applyAlignment="1" pivotButton="0" quotePrefix="0" xfId="0">
      <alignment vertical="center"/>
    </xf>
    <xf numFmtId="0" fontId="15" fillId="0" borderId="4" applyAlignment="1" pivotButton="0" quotePrefix="0" xfId="0">
      <alignment vertical="center" wrapText="1"/>
    </xf>
    <xf numFmtId="0" fontId="15" fillId="3" borderId="4" applyAlignment="1" pivotButton="0" quotePrefix="0" xfId="0">
      <alignment vertical="center"/>
    </xf>
    <xf numFmtId="0" fontId="15" fillId="0" borderId="4" applyAlignment="1" pivotButton="0" quotePrefix="0" xfId="0">
      <alignment vertical="center"/>
    </xf>
    <xf numFmtId="0" fontId="15" fillId="3" borderId="4" applyAlignment="1" pivotButton="0" quotePrefix="0" xfId="0">
      <alignment vertical="center"/>
    </xf>
    <xf numFmtId="0" fontId="15" fillId="0" borderId="4" applyAlignment="1" pivotButton="0" quotePrefix="0" xfId="0">
      <alignment vertical="center"/>
    </xf>
    <xf numFmtId="0" fontId="15" fillId="3" borderId="4" applyAlignment="1" pivotButton="0" quotePrefix="0" xfId="0">
      <alignment vertical="center"/>
    </xf>
    <xf numFmtId="0" fontId="15" fillId="0" borderId="4" applyAlignment="1" pivotButton="0" quotePrefix="0" xfId="0">
      <alignment vertical="center"/>
    </xf>
    <xf numFmtId="0" fontId="15" fillId="0" borderId="4" applyAlignment="1" pivotButton="0" quotePrefix="0" xfId="0">
      <alignment vertical="center"/>
    </xf>
    <xf numFmtId="0" fontId="15" fillId="3" borderId="4" applyAlignment="1" pivotButton="0" quotePrefix="0" xfId="0">
      <alignment vertical="center"/>
    </xf>
    <xf numFmtId="0" fontId="15" fillId="0" borderId="4" applyAlignment="1" pivotButton="0" quotePrefix="0" xfId="0">
      <alignment vertical="center"/>
    </xf>
    <xf numFmtId="0" fontId="15" fillId="3" borderId="4" applyAlignment="1" pivotButton="0" quotePrefix="0" xfId="0">
      <alignment vertical="center"/>
    </xf>
    <xf numFmtId="0" fontId="15" fillId="0" borderId="4" applyAlignment="1" pivotButton="0" quotePrefix="0" xfId="0">
      <alignment vertical="center"/>
    </xf>
    <xf numFmtId="0" fontId="15" fillId="3" borderId="4" applyAlignment="1" pivotButton="0" quotePrefix="0" xfId="0">
      <alignment vertical="center"/>
    </xf>
    <xf numFmtId="0" fontId="15" fillId="0" borderId="4" applyAlignment="1" pivotButton="0" quotePrefix="0" xfId="0">
      <alignment vertical="center"/>
    </xf>
    <xf numFmtId="0" fontId="15" fillId="3" borderId="4" applyAlignment="1" pivotButton="0" quotePrefix="0" xfId="0">
      <alignment vertical="center"/>
    </xf>
    <xf numFmtId="0" fontId="15" fillId="0" borderId="4" applyAlignment="1" pivotButton="0" quotePrefix="0" xfId="0">
      <alignment vertical="center"/>
    </xf>
    <xf numFmtId="0" fontId="15" fillId="3" borderId="4" applyAlignment="1" pivotButton="0" quotePrefix="0" xfId="0">
      <alignment vertical="center"/>
    </xf>
    <xf numFmtId="0" fontId="15" fillId="0" borderId="4" applyAlignment="1" pivotButton="0" quotePrefix="0" xfId="0">
      <alignment vertical="center"/>
    </xf>
    <xf numFmtId="0" fontId="15" fillId="3" borderId="4" applyAlignment="1" pivotButton="0" quotePrefix="0" xfId="0">
      <alignment vertical="center"/>
    </xf>
    <xf numFmtId="0" fontId="15" fillId="0" borderId="4" applyAlignment="1" pivotButton="0" quotePrefix="0" xfId="0">
      <alignment vertical="center"/>
    </xf>
    <xf numFmtId="0" fontId="15" fillId="3" borderId="4" applyAlignment="1" pivotButton="0" quotePrefix="0" xfId="0">
      <alignment vertical="center"/>
    </xf>
    <xf numFmtId="0" fontId="15" fillId="0" borderId="4" applyAlignment="1" pivotButton="0" quotePrefix="0" xfId="0">
      <alignment vertical="center"/>
    </xf>
    <xf numFmtId="0" fontId="15" fillId="3" borderId="4" applyAlignment="1" pivotButton="0" quotePrefix="0" xfId="0">
      <alignment vertical="center"/>
    </xf>
    <xf numFmtId="0" fontId="15" fillId="0" borderId="4" applyAlignment="1" pivotButton="0" quotePrefix="0" xfId="0">
      <alignment vertical="center"/>
    </xf>
    <xf numFmtId="0" fontId="15" fillId="3" borderId="4" applyAlignment="1" pivotButton="0" quotePrefix="0" xfId="0">
      <alignment vertical="center"/>
    </xf>
    <xf numFmtId="0" fontId="15" fillId="0" borderId="4" applyAlignment="1" pivotButton="0" quotePrefix="0" xfId="0">
      <alignment vertical="center"/>
    </xf>
    <xf numFmtId="0" fontId="15" fillId="0" borderId="4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E5E7EB"/>
      <rgbColor rgb="FFFFFF99"/>
      <rgbColor rgb="FF99CCFF"/>
      <rgbColor rgb="FFFF99CC"/>
      <rgbColor rgb="FFCC99FF"/>
      <rgbColor rgb="FFFFCC99"/>
      <rgbColor rgb="FF1A6CF0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16A34A"/>
      <rgbColor rgb="FF0D1117"/>
      <rgbColor rgb="FF333300"/>
      <rgbColor rgb="FF993300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tabSelected="1" zoomScaleNormal="100" workbookViewId="0">
      <pane ySplit="4" topLeftCell="A9" activePane="bottomLeft" state="frozen"/>
      <selection pane="bottomLeft" activeCell="B11" sqref="B11"/>
    </sheetView>
  </sheetViews>
  <sheetFormatPr baseColWidth="8" defaultColWidth="8.6640625" defaultRowHeight="14.4"/>
  <cols>
    <col width="10.44140625" bestFit="1" customWidth="1" style="27" min="1" max="1"/>
    <col width="63.21875" bestFit="1" customWidth="1" style="27" min="2" max="2"/>
    <col width="21.44140625" bestFit="1" customWidth="1" style="27" min="3" max="3"/>
    <col width="14.33203125" bestFit="1" customWidth="1" style="27" min="4" max="4"/>
    <col width="18.21875" bestFit="1" customWidth="1" style="27" min="5" max="5"/>
    <col width="20.77734375" bestFit="1" customWidth="1" style="27" min="6" max="6"/>
    <col width="23.44140625" bestFit="1" customWidth="1" style="27" min="7" max="7"/>
    <col width="10.88671875" bestFit="1" customWidth="1" style="27" min="8" max="8"/>
    <col width="21.6640625" bestFit="1" customWidth="1" style="27" min="9" max="9"/>
    <col width="14.5546875" bestFit="1" customWidth="1" style="27" min="10" max="10"/>
    <col width="18" customWidth="1" style="27" min="11" max="11"/>
    <col width="11.6640625" bestFit="1" customWidth="1" style="27" min="12" max="12"/>
    <col width="16.77734375" bestFit="1" customWidth="1" style="27" min="13" max="13"/>
    <col width="20.44140625" bestFit="1" customWidth="1" style="27" min="14" max="14"/>
    <col width="24" bestFit="1" customWidth="1" style="27" min="15" max="15"/>
    <col width="24.88671875" bestFit="1" customWidth="1" style="27" min="16" max="16"/>
    <col width="124.88671875" bestFit="1" customWidth="1" style="27" min="17" max="18"/>
    <col width="42.33203125" bestFit="1" customWidth="1" style="27" min="19" max="19"/>
    <col width="124.88671875" bestFit="1" customWidth="1" style="27" min="20" max="20"/>
  </cols>
  <sheetData>
    <row r="1" ht="36" customHeight="1" s="27">
      <c r="B1" s="28" t="inlineStr">
        <is>
          <t>Brochure as a Service — Lead Tracker</t>
        </is>
      </c>
    </row>
    <row r="2" ht="19.5" customHeight="1" s="27">
      <c r="B2" s="26" t="inlineStr">
        <is>
          <t>Track every prospect from discovery to close. Update daily.</t>
        </is>
      </c>
    </row>
    <row r="4" ht="31.5" customHeight="1" s="27">
      <c r="A4" t="inlineStr">
        <is>
          <t>INTEREST</t>
        </is>
      </c>
      <c r="B4" s="1" t="inlineStr">
        <is>
          <t>Business Name</t>
        </is>
      </c>
      <c r="C4" s="1" t="inlineStr">
        <is>
          <t>Industry</t>
        </is>
      </c>
      <c r="D4" s="1" t="inlineStr">
        <is>
          <t>Province</t>
        </is>
      </c>
      <c r="E4" s="1" t="inlineStr">
        <is>
          <t>City / Suburb</t>
        </is>
      </c>
      <c r="F4" s="1" t="inlineStr">
        <is>
          <t>Contact Person</t>
        </is>
      </c>
      <c r="G4" s="1" t="inlineStr">
        <is>
          <t>Phone / WhatsApp</t>
        </is>
      </c>
      <c r="H4" s="1" t="inlineStr">
        <is>
          <t>Email</t>
        </is>
      </c>
      <c r="I4" s="1" t="inlineStr">
        <is>
          <t>Facebook / Insta</t>
        </is>
      </c>
      <c r="J4" s="1" t="inlineStr">
        <is>
          <t>Has Website?</t>
        </is>
      </c>
      <c r="K4" s="1" t="inlineStr">
        <is>
          <t>Lead Source</t>
        </is>
      </c>
      <c r="L4" s="1" t="inlineStr">
        <is>
          <t>Status</t>
        </is>
      </c>
      <c r="M4" s="1" t="inlineStr">
        <is>
          <t>Date Found</t>
        </is>
      </c>
      <c r="N4" s="1" t="inlineStr">
        <is>
          <t>Date Contacted</t>
        </is>
      </c>
      <c r="O4" s="1" t="inlineStr">
        <is>
          <t>Notes / Next Step</t>
        </is>
      </c>
    </row>
    <row r="5" ht="15" customHeight="1" s="27">
      <c r="A5" s="65" t="inlineStr">
        <is>
          <t>Tiling Experts</t>
        </is>
      </c>
      <c r="B5" s="64" t="inlineStr">
        <is>
          <t>Trades &amp; Home Services</t>
        </is>
      </c>
      <c r="C5" s="64" t="inlineStr">
        <is>
          <t>KwaZulu-Natal</t>
        </is>
      </c>
      <c r="D5" s="64" t="inlineStr">
        <is>
          <t>La Lucia</t>
        </is>
      </c>
      <c r="E5" s="64" t="inlineStr"/>
      <c r="F5" s="64" t="inlineStr">
        <is>
          <t>082 753 0350</t>
        </is>
      </c>
      <c r="G5" s="64" t="inlineStr"/>
      <c r="H5" s="64" t="inlineStr"/>
      <c r="I5" s="64" t="inlineStr">
        <is>
          <t>No</t>
        </is>
      </c>
      <c r="J5" s="64" t="inlineStr">
        <is>
          <t>Google Maps</t>
        </is>
      </c>
      <c r="K5" s="64" t="inlineStr">
        <is>
          <t>New Lead</t>
        </is>
      </c>
      <c r="L5" s="64" t="inlineStr">
        <is>
          <t>2026-04-03</t>
        </is>
      </c>
      <c r="M5" s="64" t="inlineStr"/>
      <c r="N5" s="38" t="inlineStr">
        <is>
          <t>4.8 stars | 23 reviews | Monday: 7:30 AM – 4:00 PM | Tuesday: 7:30 AM – 4:00 PM | Wednesday: 7:30 AM – 4:00 PM | https://maps.google.com/?cid=8098614939933451806&amp;g_mp=Cidnb29nbGUubWFwcy5wbGFjZXMudjEuUGxhY2VzLlNlYXJjaFRleHQQAhgEIAA</t>
        </is>
      </c>
      <c r="O5" s="19" t="inlineStr">
        <is>
          <t>4.6 stars</t>
        </is>
      </c>
      <c r="P5" t="inlineStr">
        <is>
          <t>21 reviews</t>
        </is>
      </c>
      <c r="Q5" t="inlineStr">
        <is>
          <t>Monday: Open 24 hours</t>
        </is>
      </c>
      <c r="R5" t="inlineStr">
        <is>
          <t>Tuesday: Open 24 hours</t>
        </is>
      </c>
      <c r="S5" t="inlineStr">
        <is>
          <t>Wednesday: Open 24 hours</t>
        </is>
      </c>
      <c r="T5" t="inlineStr">
        <is>
          <t>https://maps.google.com/?cid=11818391474367614897&amp;g_mp=Cidnb29nbGUubWFwcy5wbGFjZXMudjEuUGxhY2VzLlNlYXJjaFRleHQQAhgEIAA</t>
        </is>
      </c>
    </row>
    <row r="6" ht="15" customHeight="1" s="27">
      <c r="A6" s="65" t="inlineStr">
        <is>
          <t>Beauty Kingdom</t>
        </is>
      </c>
      <c r="B6" s="65" t="inlineStr">
        <is>
          <t>Beauty &amp; Wellness</t>
        </is>
      </c>
      <c r="C6" s="65" t="inlineStr">
        <is>
          <t>KwaZulu-Natal</t>
        </is>
      </c>
      <c r="D6" s="65" t="inlineStr">
        <is>
          <t>Chatsworth</t>
        </is>
      </c>
      <c r="E6" s="65" t="inlineStr"/>
      <c r="F6" s="65" t="inlineStr">
        <is>
          <t>031 401 8659</t>
        </is>
      </c>
      <c r="G6" s="65" t="inlineStr"/>
      <c r="H6" s="65" t="inlineStr"/>
      <c r="I6" s="65" t="inlineStr">
        <is>
          <t>No</t>
        </is>
      </c>
      <c r="J6" s="65" t="inlineStr">
        <is>
          <t>Google Maps</t>
        </is>
      </c>
      <c r="K6" s="65" t="inlineStr">
        <is>
          <t>New Lead</t>
        </is>
      </c>
      <c r="L6" s="65" t="inlineStr">
        <is>
          <t>2026-04-03</t>
        </is>
      </c>
      <c r="M6" s="65" t="inlineStr"/>
      <c r="N6" s="40" t="inlineStr">
        <is>
          <t>4.6 stars | 341 reviews | Monday: 9:00 AM – 6:00 PM | Tuesday: 9:00 AM – 6:00 PM | Wednesday: 9:00 AM – 6:00 PM | https://maps.google.com/?cid=5902211889831189732&amp;g_mp=Cidnb29nbGUubWFwcy5wbGFjZXMudjEuUGxhY2VzLlNlYXJjaFRleHQQAhgEIAA</t>
        </is>
      </c>
      <c r="O6" s="21" t="inlineStr">
        <is>
          <t>1 stars</t>
        </is>
      </c>
      <c r="P6" t="inlineStr">
        <is>
          <t>1 reviews</t>
        </is>
      </c>
      <c r="Q6" t="inlineStr">
        <is>
          <t>Monday: Open 24 hours</t>
        </is>
      </c>
      <c r="R6" t="inlineStr">
        <is>
          <t>Tuesday: Open 24 hours</t>
        </is>
      </c>
      <c r="S6" t="inlineStr">
        <is>
          <t>Wednesday: Open 24 hours</t>
        </is>
      </c>
      <c r="T6" t="inlineStr">
        <is>
          <t>https://maps.google.com/?cid=5993838295370130051&amp;g_mp=Cidnb29nbGUubWFwcy5wbGFjZXMudjEuUGxhY2VzLlNlYXJjaFRleHQQAhgEIAA</t>
        </is>
      </c>
    </row>
    <row r="7" ht="15" customHeight="1" s="27">
      <c r="A7" s="65" t="inlineStr">
        <is>
          <t>HALEY’S BEAUTY THERAPY</t>
        </is>
      </c>
      <c r="B7" s="64" t="inlineStr">
        <is>
          <t>Beauty &amp; Wellness</t>
        </is>
      </c>
      <c r="C7" s="64" t="inlineStr">
        <is>
          <t>KwaZulu-Natal</t>
        </is>
      </c>
      <c r="D7" s="64" t="inlineStr">
        <is>
          <t>Chatsworth</t>
        </is>
      </c>
      <c r="E7" s="64" t="inlineStr"/>
      <c r="F7" s="64" t="inlineStr">
        <is>
          <t>081 267 4248</t>
        </is>
      </c>
      <c r="G7" s="64" t="inlineStr"/>
      <c r="H7" s="64" t="inlineStr"/>
      <c r="I7" s="64" t="inlineStr">
        <is>
          <t>No</t>
        </is>
      </c>
      <c r="J7" s="64" t="inlineStr">
        <is>
          <t>Google Maps</t>
        </is>
      </c>
      <c r="K7" s="64" t="inlineStr">
        <is>
          <t>New Lead</t>
        </is>
      </c>
      <c r="L7" s="64" t="inlineStr">
        <is>
          <t>2026-04-03</t>
        </is>
      </c>
      <c r="M7" s="64" t="inlineStr"/>
      <c r="N7" s="38" t="inlineStr">
        <is>
          <t>4.8 stars | 146 reviews | Monday: 12:00 – 6:00 PM | Tuesday: 10:00 AM – 6:00 PM | Wednesday: 10:00 AM – 6:00 PM | https://maps.google.com/?cid=7212798743767500606&amp;g_mp=Cidnb29nbGUubWFwcy5wbGFjZXMudjEuUGxhY2VzLlNlYXJjaFRleHQQAhgEIAA</t>
        </is>
      </c>
      <c r="O7" s="19" t="inlineStr">
        <is>
          <t>5 stars</t>
        </is>
      </c>
      <c r="P7" t="inlineStr">
        <is>
          <t>24 reviews</t>
        </is>
      </c>
      <c r="Q7" t="inlineStr">
        <is>
          <t>Monday: Open 24 hours</t>
        </is>
      </c>
      <c r="R7" t="inlineStr">
        <is>
          <t>Tuesday: Open 24 hours</t>
        </is>
      </c>
      <c r="S7" t="inlineStr">
        <is>
          <t>Wednesday: Open 24 hours</t>
        </is>
      </c>
      <c r="T7" t="inlineStr">
        <is>
          <t>https://maps.google.com/?cid=6965501395366097317&amp;g_mp=Cidnb29nbGUubWFwcy5wbGFjZXMudjEuUGxhY2VzLlNlYXJjaFRleHQQAhgEIAA</t>
        </is>
      </c>
    </row>
    <row r="8" ht="15" customHeight="1" s="27">
      <c r="A8" s="65" t="inlineStr">
        <is>
          <t>The Beauty Vault Sanctuary Spa</t>
        </is>
      </c>
      <c r="B8" s="65" t="inlineStr">
        <is>
          <t>Beauty &amp; Wellness</t>
        </is>
      </c>
      <c r="C8" s="65" t="inlineStr">
        <is>
          <t>KwaZulu-Natal</t>
        </is>
      </c>
      <c r="D8" s="65" t="inlineStr">
        <is>
          <t>Chatsworth</t>
        </is>
      </c>
      <c r="E8" s="65" t="inlineStr"/>
      <c r="F8" s="65" t="inlineStr">
        <is>
          <t>084 923 5216</t>
        </is>
      </c>
      <c r="G8" s="65" t="inlineStr"/>
      <c r="H8" s="65" t="inlineStr"/>
      <c r="I8" s="65" t="inlineStr">
        <is>
          <t>No</t>
        </is>
      </c>
      <c r="J8" s="65" t="inlineStr">
        <is>
          <t>Google Maps</t>
        </is>
      </c>
      <c r="K8" s="65" t="inlineStr">
        <is>
          <t>New Lead</t>
        </is>
      </c>
      <c r="L8" s="65" t="inlineStr">
        <is>
          <t>2026-04-03</t>
        </is>
      </c>
      <c r="M8" s="65" t="inlineStr"/>
      <c r="N8" s="40" t="inlineStr">
        <is>
          <t>Monday: 7:00 AM – 8:00 PM | Tuesday: 7:00 AM – 8:00 PM | Wednesday: 7:00 AM – 8:00 PM | https://maps.google.com/?cid=5897106547258168965&amp;g_mp=Cidnb29nbGUubWFwcy5wbGFjZXMudjEuUGxhY2VzLlNlYXJjaFRleHQQAhgEIAA</t>
        </is>
      </c>
      <c r="O8" s="21" t="inlineStr">
        <is>
          <t>3.8 stars</t>
        </is>
      </c>
      <c r="P8" t="inlineStr">
        <is>
          <t>4 reviews</t>
        </is>
      </c>
      <c r="Q8" t="inlineStr">
        <is>
          <t>Monday: 6:00 AM – 10:00 PM</t>
        </is>
      </c>
      <c r="R8" t="inlineStr">
        <is>
          <t>Tuesday: 6:00 AM – 10:00 PM</t>
        </is>
      </c>
      <c r="S8" t="inlineStr">
        <is>
          <t>Wednesday: 6:00 AM – 10:00 PM</t>
        </is>
      </c>
      <c r="T8" t="inlineStr">
        <is>
          <t>https://maps.google.com/?cid=2572711291238925426&amp;g_mp=Cidnb29nbGUubWFwcy5wbGFjZXMudjEuUGxhY2VzLlNlYXJjaFRleHQQAhgEIAA</t>
        </is>
      </c>
    </row>
    <row r="9" ht="15" customHeight="1" s="27">
      <c r="A9" s="65" t="inlineStr">
        <is>
          <t>THE GLAM STUDIO</t>
        </is>
      </c>
      <c r="B9" s="64" t="inlineStr">
        <is>
          <t>Beauty &amp; Wellness</t>
        </is>
      </c>
      <c r="C9" s="64" t="inlineStr">
        <is>
          <t>KwaZulu-Natal</t>
        </is>
      </c>
      <c r="D9" s="64" t="inlineStr">
        <is>
          <t>Chatsworth</t>
        </is>
      </c>
      <c r="E9" s="64" t="inlineStr"/>
      <c r="F9" s="64" t="inlineStr">
        <is>
          <t>079 882 6161</t>
        </is>
      </c>
      <c r="G9" s="64" t="inlineStr"/>
      <c r="H9" s="64" t="inlineStr"/>
      <c r="I9" s="64" t="inlineStr">
        <is>
          <t>No</t>
        </is>
      </c>
      <c r="J9" s="64" t="inlineStr">
        <is>
          <t>Google Maps</t>
        </is>
      </c>
      <c r="K9" s="64" t="inlineStr">
        <is>
          <t>New Lead</t>
        </is>
      </c>
      <c r="L9" s="64" t="inlineStr">
        <is>
          <t>2026-04-03</t>
        </is>
      </c>
      <c r="M9" s="64" t="inlineStr"/>
      <c r="N9" s="38" t="inlineStr">
        <is>
          <t>4.6 stars | 23 reviews | Monday: Closed | Tuesday: 8:30 AM – 5:00 PM | Wednesday: 8:30 AM – 5:00 PM | https://maps.google.com/?cid=5935282822695831857&amp;g_mp=Cidnb29nbGUubWFwcy5wbGFjZXMudjEuUGxhY2VzLlNlYXJjaFRleHQQAhgEIAA</t>
        </is>
      </c>
      <c r="O9" s="19" t="inlineStr">
        <is>
          <t>5 stars</t>
        </is>
      </c>
      <c r="P9" t="inlineStr">
        <is>
          <t>1 reviews</t>
        </is>
      </c>
      <c r="Q9" t="inlineStr">
        <is>
          <t>Monday: Open 24 hours</t>
        </is>
      </c>
      <c r="R9" t="inlineStr">
        <is>
          <t>Tuesday: Open 24 hours</t>
        </is>
      </c>
      <c r="S9" t="inlineStr">
        <is>
          <t>Wednesday: Open 24 hours</t>
        </is>
      </c>
      <c r="T9" t="inlineStr">
        <is>
          <t>https://maps.google.com/?cid=11466610932631644100&amp;g_mp=Cidnb29nbGUubWFwcy5wbGFjZXMudjEuUGxhY2VzLlNlYXJjaFRleHQQAhgEIAA</t>
        </is>
      </c>
    </row>
    <row r="10" ht="15" customHeight="1" s="27">
      <c r="A10" s="65" t="inlineStr">
        <is>
          <t>Pearl's Beauty Lab</t>
        </is>
      </c>
      <c r="B10" s="65" t="inlineStr">
        <is>
          <t>Beauty &amp; Wellness</t>
        </is>
      </c>
      <c r="C10" s="65" t="inlineStr">
        <is>
          <t>KwaZulu-Natal</t>
        </is>
      </c>
      <c r="D10" s="65" t="inlineStr">
        <is>
          <t>Chatsworth</t>
        </is>
      </c>
      <c r="E10" s="65" t="inlineStr"/>
      <c r="F10" s="65" t="inlineStr">
        <is>
          <t>073 606 9534</t>
        </is>
      </c>
      <c r="G10" s="65" t="inlineStr"/>
      <c r="H10" s="65" t="inlineStr"/>
      <c r="I10" s="65" t="inlineStr">
        <is>
          <t>No</t>
        </is>
      </c>
      <c r="J10" s="65" t="inlineStr">
        <is>
          <t>Google Maps</t>
        </is>
      </c>
      <c r="K10" s="65" t="inlineStr">
        <is>
          <t>New Lead</t>
        </is>
      </c>
      <c r="L10" s="65" t="inlineStr">
        <is>
          <t>2026-04-03</t>
        </is>
      </c>
      <c r="M10" s="65" t="inlineStr"/>
      <c r="N10" s="40" t="inlineStr">
        <is>
          <t>5 stars | 16 reviews | Monday: 9:00 AM – 5:00 PM | Tuesday: 9:00 AM – 5:00 PM | Wednesday: 9:00 AM – 5:00 PM | https://maps.google.com/?cid=10237563139231933977&amp;g_mp=Cidnb29nbGUubWFwcy5wbGFjZXMudjEuUGxhY2VzLlNlYXJjaFRleHQQAhgEIAA</t>
        </is>
      </c>
      <c r="O10" s="21" t="inlineStr">
        <is>
          <t>5 stars</t>
        </is>
      </c>
      <c r="P10" t="inlineStr">
        <is>
          <t>1 reviews</t>
        </is>
      </c>
      <c r="Q10" t="inlineStr">
        <is>
          <t>Monday: 7:30 AM – 5:00 PM</t>
        </is>
      </c>
      <c r="R10" t="inlineStr">
        <is>
          <t>Tuesday: 7:30 AM – 5:00 PM</t>
        </is>
      </c>
      <c r="S10" t="inlineStr">
        <is>
          <t>Wednesday: 7:30 AM – 5:00 PM</t>
        </is>
      </c>
      <c r="T10" t="inlineStr">
        <is>
          <t>https://maps.google.com/?cid=9597037575641056009&amp;g_mp=Cidnb29nbGUubWFwcy5wbGFjZXMudjEuUGxhY2VzLlNlYXJjaFRleHQQAhgEIAA</t>
        </is>
      </c>
    </row>
    <row r="11" ht="15" customHeight="1" s="27">
      <c r="A11" s="65" t="inlineStr">
        <is>
          <t>Rejuvenation Retreat</t>
        </is>
      </c>
      <c r="B11" s="64" t="inlineStr">
        <is>
          <t>Beauty &amp; Wellness</t>
        </is>
      </c>
      <c r="C11" s="64" t="inlineStr">
        <is>
          <t>KwaZulu-Natal</t>
        </is>
      </c>
      <c r="D11" s="64" t="inlineStr">
        <is>
          <t>Chatsworth</t>
        </is>
      </c>
      <c r="E11" s="64" t="inlineStr"/>
      <c r="F11" s="64" t="inlineStr">
        <is>
          <t>071 365 0275</t>
        </is>
      </c>
      <c r="G11" s="64" t="inlineStr"/>
      <c r="H11" s="64" t="inlineStr"/>
      <c r="I11" s="64" t="inlineStr">
        <is>
          <t>No</t>
        </is>
      </c>
      <c r="J11" s="64" t="inlineStr">
        <is>
          <t>Google Maps</t>
        </is>
      </c>
      <c r="K11" s="64" t="inlineStr">
        <is>
          <t>New Lead</t>
        </is>
      </c>
      <c r="L11" s="64" t="inlineStr">
        <is>
          <t>2026-04-03</t>
        </is>
      </c>
      <c r="M11" s="64" t="inlineStr"/>
      <c r="N11" s="38" t="inlineStr">
        <is>
          <t>5 stars | 1 reviews | Monday: 9:00 AM – 6:00 PM | Tuesday: 9:00 AM – 6:00 PM | Wednesday: 9:00 AM – 6:00 PM | https://maps.google.com/?cid=4407304906041593885&amp;g_mp=Cidnb29nbGUubWFwcy5wbGFjZXMudjEuUGxhY2VzLlNlYXJjaFRleHQQAhgEIAA</t>
        </is>
      </c>
      <c r="O11" s="19" t="inlineStr">
        <is>
          <t>5 stars</t>
        </is>
      </c>
      <c r="P11" t="inlineStr">
        <is>
          <t>2 reviews</t>
        </is>
      </c>
      <c r="Q11" t="inlineStr">
        <is>
          <t>Monday: Open 24 hours</t>
        </is>
      </c>
      <c r="R11" t="inlineStr">
        <is>
          <t>Tuesday: Open 24 hours</t>
        </is>
      </c>
      <c r="S11" t="inlineStr">
        <is>
          <t>Wednesday: Open 24 hours</t>
        </is>
      </c>
      <c r="T11" t="inlineStr">
        <is>
          <t>https://maps.google.com/?cid=2355159315617690695&amp;g_mp=Cidnb29nbGUubWFwcy5wbGFjZXMudjEuUGxhY2VzLlNlYXJjaFRleHQQAhgEIAA</t>
        </is>
      </c>
    </row>
    <row r="12" ht="15" customHeight="1" s="27">
      <c r="A12" s="65" t="inlineStr">
        <is>
          <t>The Nail Hive &amp; Beauty</t>
        </is>
      </c>
      <c r="B12" s="65" t="inlineStr">
        <is>
          <t>Beauty &amp; Wellness</t>
        </is>
      </c>
      <c r="C12" s="65" t="inlineStr">
        <is>
          <t>KwaZulu-Natal</t>
        </is>
      </c>
      <c r="D12" s="65" t="inlineStr">
        <is>
          <t>Chatsworth</t>
        </is>
      </c>
      <c r="E12" s="65" t="inlineStr"/>
      <c r="F12" s="65" t="inlineStr">
        <is>
          <t>081 215 1786</t>
        </is>
      </c>
      <c r="G12" s="65" t="inlineStr"/>
      <c r="H12" s="65" t="inlineStr"/>
      <c r="I12" s="65" t="inlineStr">
        <is>
          <t>No</t>
        </is>
      </c>
      <c r="J12" s="65" t="inlineStr">
        <is>
          <t>Google Maps</t>
        </is>
      </c>
      <c r="K12" s="65" t="inlineStr">
        <is>
          <t>New Lead</t>
        </is>
      </c>
      <c r="L12" s="65" t="inlineStr">
        <is>
          <t>2026-04-03</t>
        </is>
      </c>
      <c r="M12" s="65" t="inlineStr"/>
      <c r="N12" s="40" t="inlineStr">
        <is>
          <t>5 stars | 16 reviews | Monday: 9:00 AM – 5:00 PM | Tuesday: 9:00 AM – 5:00 PM | Wednesday: 9:00 AM – 5:00 PM | https://maps.google.com/?cid=12886772067834600651&amp;g_mp=Cidnb29nbGUubWFwcy5wbGFjZXMudjEuUGxhY2VzLlNlYXJjaFRleHQQAhgEIAA</t>
        </is>
      </c>
      <c r="O12" s="23" t="inlineStr">
        <is>
          <t>4.9 stars</t>
        </is>
      </c>
      <c r="P12" t="inlineStr">
        <is>
          <t>62 reviews</t>
        </is>
      </c>
      <c r="Q12" t="inlineStr">
        <is>
          <t>Monday: Open 24 hours</t>
        </is>
      </c>
      <c r="R12" t="inlineStr">
        <is>
          <t>Tuesday: Open 24 hours</t>
        </is>
      </c>
      <c r="S12" t="inlineStr">
        <is>
          <t>Wednesday: Open 24 hours</t>
        </is>
      </c>
      <c r="T12" t="inlineStr">
        <is>
          <t>https://maps.google.com/?cid=16454109922237301018&amp;g_mp=Cidnb29nbGUubWFwcy5wbGFjZXMudjEuUGxhY2VzLlNlYXJjaFRleHQQAhgEIAA</t>
        </is>
      </c>
    </row>
    <row r="13" ht="15" customHeight="1" s="27">
      <c r="A13" s="65" t="inlineStr">
        <is>
          <t>Thee Beauty Hideout</t>
        </is>
      </c>
      <c r="B13" s="64" t="inlineStr">
        <is>
          <t>Beauty &amp; Wellness</t>
        </is>
      </c>
      <c r="C13" s="64" t="inlineStr">
        <is>
          <t>KwaZulu-Natal</t>
        </is>
      </c>
      <c r="D13" s="64" t="inlineStr">
        <is>
          <t>Chatsworth</t>
        </is>
      </c>
      <c r="E13" s="64" t="inlineStr"/>
      <c r="F13" s="64" t="inlineStr">
        <is>
          <t>081 259 5141</t>
        </is>
      </c>
      <c r="G13" s="64" t="inlineStr"/>
      <c r="H13" s="64" t="inlineStr"/>
      <c r="I13" s="64" t="inlineStr">
        <is>
          <t>No</t>
        </is>
      </c>
      <c r="J13" s="64" t="inlineStr">
        <is>
          <t>Google Maps</t>
        </is>
      </c>
      <c r="K13" s="64" t="inlineStr">
        <is>
          <t>New Lead</t>
        </is>
      </c>
      <c r="L13" s="64" t="inlineStr">
        <is>
          <t>2026-04-03</t>
        </is>
      </c>
      <c r="M13" s="64" t="inlineStr"/>
      <c r="N13" s="38" t="inlineStr">
        <is>
          <t>4 stars | 3 reviews | Monday: 9:00 AM – 5:30 PM | Tuesday: 9:00 AM – 5:30 PM | Wednesday: 9:00 AM – 5:30 PM | https://maps.google.com/?cid=12514477215559661852&amp;g_mp=Cidnb29nbGUubWFwcy5wbGFjZXMudjEuUGxhY2VzLlNlYXJjaFRleHQQAhgEIAA</t>
        </is>
      </c>
      <c r="O13" s="25" t="inlineStr">
        <is>
          <t>4.9 stars</t>
        </is>
      </c>
      <c r="P13" t="inlineStr">
        <is>
          <t>28 reviews</t>
        </is>
      </c>
      <c r="Q13" t="inlineStr">
        <is>
          <t>Monday: Open 24 hours</t>
        </is>
      </c>
      <c r="R13" t="inlineStr">
        <is>
          <t>Tuesday: Open 24 hours</t>
        </is>
      </c>
      <c r="S13" t="inlineStr">
        <is>
          <t>Wednesday: Open 24 hours</t>
        </is>
      </c>
      <c r="T13" t="inlineStr">
        <is>
          <t>https://maps.google.com/?cid=16078506622121649025&amp;g_mp=Cidnb29nbGUubWFwcy5wbGFjZXMudjEuUGxhY2VzLlNlYXJjaFRleHQQAhgEIAA</t>
        </is>
      </c>
    </row>
    <row r="14" ht="15" customHeight="1" s="27">
      <c r="A14" s="65" t="inlineStr">
        <is>
          <t>La Tierra Spa &amp; Aesthetics</t>
        </is>
      </c>
      <c r="B14" s="65" t="inlineStr">
        <is>
          <t>Beauty &amp; Wellness</t>
        </is>
      </c>
      <c r="C14" s="65" t="inlineStr">
        <is>
          <t>KwaZulu-Natal</t>
        </is>
      </c>
      <c r="D14" s="65" t="inlineStr">
        <is>
          <t>Chatsworth</t>
        </is>
      </c>
      <c r="E14" s="65" t="inlineStr"/>
      <c r="F14" s="65" t="inlineStr">
        <is>
          <t>084 722 6900</t>
        </is>
      </c>
      <c r="G14" s="65" t="inlineStr"/>
      <c r="H14" s="65" t="inlineStr"/>
      <c r="I14" s="65" t="inlineStr">
        <is>
          <t>No</t>
        </is>
      </c>
      <c r="J14" s="65" t="inlineStr">
        <is>
          <t>Google Maps</t>
        </is>
      </c>
      <c r="K14" s="65" t="inlineStr">
        <is>
          <t>New Lead</t>
        </is>
      </c>
      <c r="L14" s="65" t="inlineStr">
        <is>
          <t>2026-04-03</t>
        </is>
      </c>
      <c r="M14" s="65" t="inlineStr"/>
      <c r="N14" s="40" t="inlineStr">
        <is>
          <t>4.8 stars | 65 reviews | Monday: Closed | Tuesday: 8:00 AM – 5:00 PM | Wednesday: 8:00 AM – 5:00 PM | https://maps.google.com/?cid=3785612442891382587&amp;g_mp=Cidnb29nbGUubWFwcy5wbGFjZXMudjEuUGxhY2VzLlNlYXJjaFRleHQQAhgEIAA</t>
        </is>
      </c>
      <c r="O14" s="23" t="inlineStr">
        <is>
          <t>5 stars</t>
        </is>
      </c>
      <c r="P14" t="inlineStr">
        <is>
          <t>3 reviews</t>
        </is>
      </c>
      <c r="Q14" t="inlineStr">
        <is>
          <t>Monday: 8:00 AM – 4:00 PM</t>
        </is>
      </c>
      <c r="R14" t="inlineStr">
        <is>
          <t>Tuesday: 8:00 AM – 4:00 PM</t>
        </is>
      </c>
      <c r="S14" t="inlineStr">
        <is>
          <t>Wednesday: 8:00 AM – 4:00 PM</t>
        </is>
      </c>
      <c r="T14" t="inlineStr">
        <is>
          <t>https://maps.google.com/?cid=675367582599982263&amp;g_mp=Cidnb29nbGUubWFwcy5wbGFjZXMudjEuUGxhY2VzLlNlYXJjaFRleHQQAhgEIAA</t>
        </is>
      </c>
    </row>
    <row r="15" ht="15" customHeight="1" s="27">
      <c r="A15" s="65" t="inlineStr">
        <is>
          <t>CHARLOTTES HEALTH AND BEAUTY</t>
        </is>
      </c>
      <c r="B15" s="64" t="inlineStr">
        <is>
          <t>Beauty &amp; Wellness</t>
        </is>
      </c>
      <c r="C15" s="64" t="inlineStr">
        <is>
          <t>KwaZulu-Natal</t>
        </is>
      </c>
      <c r="D15" s="64" t="inlineStr">
        <is>
          <t>Chatsworth</t>
        </is>
      </c>
      <c r="E15" s="64" t="inlineStr"/>
      <c r="F15" s="64" t="inlineStr">
        <is>
          <t>031 401 9350</t>
        </is>
      </c>
      <c r="G15" s="64" t="inlineStr"/>
      <c r="H15" s="64" t="inlineStr"/>
      <c r="I15" s="64" t="inlineStr">
        <is>
          <t>No</t>
        </is>
      </c>
      <c r="J15" s="64" t="inlineStr">
        <is>
          <t>Google Maps</t>
        </is>
      </c>
      <c r="K15" s="64" t="inlineStr">
        <is>
          <t>New Lead</t>
        </is>
      </c>
      <c r="L15" s="64" t="inlineStr">
        <is>
          <t>2026-04-03</t>
        </is>
      </c>
      <c r="M15" s="64" t="inlineStr"/>
      <c r="N15" s="38" t="inlineStr">
        <is>
          <t>4.9 stars | 26 reviews | Monday: 8:00 AM – 5:00 PM | Tuesday: 8:00 AM – 5:00 PM | Wednesday: 8:00 AM – 5:00 PM | https://maps.google.com/?cid=14208271565492437224&amp;g_mp=Cidnb29nbGUubWFwcy5wbGFjZXMudjEuUGxhY2VzLlNlYXJjaFRleHQQAhgEIAA</t>
        </is>
      </c>
      <c r="O15" s="25" t="inlineStr">
        <is>
          <t>4.8 stars</t>
        </is>
      </c>
      <c r="P15" t="inlineStr">
        <is>
          <t>4 reviews</t>
        </is>
      </c>
      <c r="Q15" t="inlineStr">
        <is>
          <t>Monday: Open 24 hours</t>
        </is>
      </c>
      <c r="R15" t="inlineStr">
        <is>
          <t>Tuesday: Open 24 hours</t>
        </is>
      </c>
      <c r="S15" t="inlineStr">
        <is>
          <t>Wednesday: Open 24 hours</t>
        </is>
      </c>
      <c r="T15" t="inlineStr">
        <is>
          <t>https://maps.google.com/?cid=13689332527613132762&amp;g_mp=Cidnb29nbGUubWFwcy5wbGFjZXMudjEuUGxhY2VzLlNlYXJjaFRleHQQAhgEIAA</t>
        </is>
      </c>
    </row>
    <row r="16" ht="15" customHeight="1" s="27">
      <c r="A16" s="65" t="inlineStr">
        <is>
          <t>AD Hair Nails &amp; Beauty Spa</t>
        </is>
      </c>
      <c r="B16" s="65" t="inlineStr">
        <is>
          <t>Beauty &amp; Wellness</t>
        </is>
      </c>
      <c r="C16" s="65" t="inlineStr">
        <is>
          <t>KwaZulu-Natal</t>
        </is>
      </c>
      <c r="D16" s="65" t="inlineStr">
        <is>
          <t>Chatsworth</t>
        </is>
      </c>
      <c r="E16" s="65" t="inlineStr"/>
      <c r="F16" s="65" t="inlineStr">
        <is>
          <t>031 002 7403</t>
        </is>
      </c>
      <c r="G16" s="65" t="inlineStr"/>
      <c r="H16" s="65" t="inlineStr"/>
      <c r="I16" s="65" t="inlineStr">
        <is>
          <t>No</t>
        </is>
      </c>
      <c r="J16" s="65" t="inlineStr">
        <is>
          <t>Google Maps</t>
        </is>
      </c>
      <c r="K16" s="65" t="inlineStr">
        <is>
          <t>New Lead</t>
        </is>
      </c>
      <c r="L16" s="65" t="inlineStr">
        <is>
          <t>2026-04-03</t>
        </is>
      </c>
      <c r="M16" s="65" t="inlineStr"/>
      <c r="N16" s="40" t="inlineStr">
        <is>
          <t>5 stars | 9 reviews | Monday: 9:00 AM – 5:00 PM | Tuesday: 9:00 AM – 5:00 PM | Wednesday: 9:00 AM – 5:00 PM | https://maps.google.com/?cid=4077210597883238985&amp;g_mp=Cidnb29nbGUubWFwcy5wbGFjZXMudjEuUGxhY2VzLlNlYXJjaFRleHQQAhgEIAA</t>
        </is>
      </c>
      <c r="O16" s="23" t="inlineStr">
        <is>
          <t>3.4 stars</t>
        </is>
      </c>
      <c r="P16" t="inlineStr">
        <is>
          <t>20 reviews</t>
        </is>
      </c>
      <c r="Q16" t="inlineStr">
        <is>
          <t>Monday: Open 24 hours</t>
        </is>
      </c>
      <c r="R16" t="inlineStr">
        <is>
          <t>Tuesday: Open 24 hours</t>
        </is>
      </c>
      <c r="S16" t="inlineStr">
        <is>
          <t>Wednesday: Open 24 hours</t>
        </is>
      </c>
      <c r="T16" t="inlineStr">
        <is>
          <t>https://maps.google.com/?cid=176932451788830868&amp;g_mp=Cidnb29nbGUubWFwcy5wbGFjZXMudjEuUGxhY2VzLlNlYXJjaFRleHQQAhgEIAA</t>
        </is>
      </c>
    </row>
    <row r="17" ht="15" customHeight="1" s="27">
      <c r="A17" s="65" t="inlineStr">
        <is>
          <t>Juanitashealth&amp;beauty</t>
        </is>
      </c>
      <c r="B17" s="64" t="inlineStr">
        <is>
          <t>Beauty &amp; Wellness</t>
        </is>
      </c>
      <c r="C17" s="64" t="inlineStr">
        <is>
          <t>KwaZulu-Natal</t>
        </is>
      </c>
      <c r="D17" s="64" t="inlineStr">
        <is>
          <t>Chatsworth</t>
        </is>
      </c>
      <c r="E17" s="64" t="inlineStr"/>
      <c r="F17" s="64" t="inlineStr">
        <is>
          <t>083 682 4604</t>
        </is>
      </c>
      <c r="G17" s="64" t="inlineStr"/>
      <c r="H17" s="64" t="inlineStr"/>
      <c r="I17" s="64" t="inlineStr">
        <is>
          <t>No</t>
        </is>
      </c>
      <c r="J17" s="64" t="inlineStr">
        <is>
          <t>Google Maps</t>
        </is>
      </c>
      <c r="K17" s="64" t="inlineStr">
        <is>
          <t>New Lead</t>
        </is>
      </c>
      <c r="L17" s="64" t="inlineStr">
        <is>
          <t>2026-04-03</t>
        </is>
      </c>
      <c r="M17" s="64" t="inlineStr"/>
      <c r="N17" s="38" t="inlineStr">
        <is>
          <t>4.6 stars | 9 reviews | Monday: Closed | Tuesday: Closed | Wednesday: 9:00 AM – 5:00 PM | https://maps.google.com/?cid=901754277589383452&amp;g_mp=Cidnb29nbGUubWFwcy5wbGFjZXMudjEuUGxhY2VzLlNlYXJjaFRleHQQAhgEIAA</t>
        </is>
      </c>
      <c r="O17" s="25" t="inlineStr">
        <is>
          <t>4 stars</t>
        </is>
      </c>
      <c r="P17" t="inlineStr">
        <is>
          <t>1 reviews</t>
        </is>
      </c>
      <c r="Q17" t="inlineStr">
        <is>
          <t>Monday: 8:00 AM – 4:30 AM</t>
        </is>
      </c>
      <c r="R17" t="inlineStr">
        <is>
          <t>Tuesday: 8:00 AM – 4:30 AM</t>
        </is>
      </c>
      <c r="S17" t="inlineStr">
        <is>
          <t>Wednesday: 8:00 AM – 4:30 AM</t>
        </is>
      </c>
      <c r="T17" t="inlineStr">
        <is>
          <t>https://maps.google.com/?cid=5603579095525815099&amp;g_mp=Cidnb29nbGUubWFwcy5wbGFjZXMudjEuUGxhY2VzLlNlYXJjaFRleHQQAhgEIAA</t>
        </is>
      </c>
    </row>
    <row r="18" ht="15" customHeight="1" s="27">
      <c r="A18" s="65" t="inlineStr">
        <is>
          <t>Crystal Spa and Aesthetics</t>
        </is>
      </c>
      <c r="B18" s="65" t="inlineStr">
        <is>
          <t>Beauty &amp; Wellness</t>
        </is>
      </c>
      <c r="C18" s="65" t="inlineStr">
        <is>
          <t>KwaZulu-Natal</t>
        </is>
      </c>
      <c r="D18" s="65" t="inlineStr">
        <is>
          <t>Chatsworth</t>
        </is>
      </c>
      <c r="E18" s="65" t="inlineStr"/>
      <c r="F18" s="65" t="inlineStr">
        <is>
          <t>069 993 1620</t>
        </is>
      </c>
      <c r="G18" s="65" t="inlineStr"/>
      <c r="H18" s="65" t="inlineStr"/>
      <c r="I18" s="65" t="inlineStr">
        <is>
          <t>No</t>
        </is>
      </c>
      <c r="J18" s="65" t="inlineStr">
        <is>
          <t>Google Maps</t>
        </is>
      </c>
      <c r="K18" s="65" t="inlineStr">
        <is>
          <t>New Lead</t>
        </is>
      </c>
      <c r="L18" s="65" t="inlineStr">
        <is>
          <t>2026-04-03</t>
        </is>
      </c>
      <c r="M18" s="65" t="inlineStr"/>
      <c r="N18" s="40" t="inlineStr">
        <is>
          <t>4 stars | 4 reviews | Monday: 8:00 AM – 7:00 PM | Tuesday: 8:00 AM – 7:00 PM | Wednesday: 8:00 AM – 7:00 PM | https://maps.google.com/?cid=2183555200601980177&amp;g_mp=Cidnb29nbGUubWFwcy5wbGFjZXMudjEuUGxhY2VzLlNlYXJjaFRleHQQAhgEIAA</t>
        </is>
      </c>
      <c r="O18" s="23" t="inlineStr">
        <is>
          <t>4.7 stars</t>
        </is>
      </c>
      <c r="P18" t="inlineStr">
        <is>
          <t>20 reviews</t>
        </is>
      </c>
      <c r="Q18" t="inlineStr">
        <is>
          <t>Monday: Open 24 hours</t>
        </is>
      </c>
      <c r="R18" t="inlineStr">
        <is>
          <t>Tuesday: Open 24 hours</t>
        </is>
      </c>
      <c r="S18" t="inlineStr">
        <is>
          <t>Wednesday: Open 24 hours</t>
        </is>
      </c>
      <c r="T18" t="inlineStr">
        <is>
          <t>https://maps.google.com/?cid=11962099371799953956&amp;g_mp=Cidnb29nbGUubWFwcy5wbGFjZXMudjEuUGxhY2VzLlNlYXJjaFRleHQQAhgEIAA</t>
        </is>
      </c>
    </row>
    <row r="19" ht="15" customHeight="1" s="27">
      <c r="A19" s="65" t="inlineStr">
        <is>
          <t>Le' beautè Salon</t>
        </is>
      </c>
      <c r="B19" s="64" t="inlineStr">
        <is>
          <t>Beauty &amp; Wellness</t>
        </is>
      </c>
      <c r="C19" s="64" t="inlineStr">
        <is>
          <t>KwaZulu-Natal</t>
        </is>
      </c>
      <c r="D19" s="64" t="inlineStr">
        <is>
          <t>Chatsworth</t>
        </is>
      </c>
      <c r="E19" s="64" t="inlineStr"/>
      <c r="F19" s="64" t="inlineStr">
        <is>
          <t>082 321 5631</t>
        </is>
      </c>
      <c r="G19" s="64" t="inlineStr"/>
      <c r="H19" s="64" t="inlineStr"/>
      <c r="I19" s="64" t="inlineStr">
        <is>
          <t>No</t>
        </is>
      </c>
      <c r="J19" s="64" t="inlineStr">
        <is>
          <t>Google Maps</t>
        </is>
      </c>
      <c r="K19" s="64" t="inlineStr">
        <is>
          <t>New Lead</t>
        </is>
      </c>
      <c r="L19" s="64" t="inlineStr">
        <is>
          <t>2026-04-03</t>
        </is>
      </c>
      <c r="M19" s="64" t="inlineStr"/>
      <c r="N19" s="38" t="inlineStr">
        <is>
          <t>Monday: 9:00 AM – 5:00 PM | Tuesday: 9:00 AM – 5:00 PM | Wednesday: 9:00 AM – 5:00 PM | https://maps.google.com/?cid=1658288402048617539&amp;g_mp=Cidnb29nbGUubWFwcy5wbGFjZXMudjEuUGxhY2VzLlNlYXJjaFRleHQQAhgEIAA</t>
        </is>
      </c>
      <c r="O19" s="25" t="inlineStr">
        <is>
          <t>4.9 stars</t>
        </is>
      </c>
      <c r="P19" t="inlineStr">
        <is>
          <t>12 reviews</t>
        </is>
      </c>
      <c r="Q19" t="inlineStr">
        <is>
          <t>https://maps.google.com/?cid=16758636031194280299&amp;g_mp=Cidnb29nbGUubWFwcy5wbGFjZXMudjEuUGxhY2VzLlNlYXJjaFRleHQQAhgEIAA</t>
        </is>
      </c>
    </row>
    <row r="20" ht="15" customHeight="1" s="27">
      <c r="A20" s="65" t="inlineStr">
        <is>
          <t>Graham's Appliances &amp; Refrigeration</t>
        </is>
      </c>
      <c r="B20" s="65" t="inlineStr">
        <is>
          <t>Trades &amp; Home Services</t>
        </is>
      </c>
      <c r="C20" s="65" t="inlineStr">
        <is>
          <t>Western Cape</t>
        </is>
      </c>
      <c r="D20" s="65" t="inlineStr">
        <is>
          <t>Strand</t>
        </is>
      </c>
      <c r="E20" s="65" t="inlineStr"/>
      <c r="F20" s="65" t="inlineStr">
        <is>
          <t>021 853 1163</t>
        </is>
      </c>
      <c r="G20" s="65" t="inlineStr"/>
      <c r="H20" s="65" t="inlineStr"/>
      <c r="I20" s="65" t="inlineStr">
        <is>
          <t>No</t>
        </is>
      </c>
      <c r="J20" s="65" t="inlineStr">
        <is>
          <t>Google Maps</t>
        </is>
      </c>
      <c r="K20" s="65" t="inlineStr">
        <is>
          <t>New Lead</t>
        </is>
      </c>
      <c r="L20" s="65" t="inlineStr">
        <is>
          <t>2026-04-03</t>
        </is>
      </c>
      <c r="M20" s="65" t="inlineStr"/>
      <c r="N20" s="40" t="inlineStr">
        <is>
          <t>3.7 stars | 256 reviews | Monday: 8:00 AM – 5:00 PM | Tuesday: 8:00 AM – 5:00 PM | Wednesday: 8:00 AM – 5:00 PM | https://maps.google.com/?cid=10690443470884824657&amp;g_mp=Cidnb29nbGUubWFwcy5wbGFjZXMudjEuUGxhY2VzLlNlYXJjaFRleHQQAhgEIAA</t>
        </is>
      </c>
      <c r="O20" s="23" t="inlineStr">
        <is>
          <t>5 stars</t>
        </is>
      </c>
      <c r="P20" t="inlineStr">
        <is>
          <t>3 reviews</t>
        </is>
      </c>
      <c r="Q20" t="inlineStr">
        <is>
          <t>Monday: 8:00 AM – 5:00 PM</t>
        </is>
      </c>
      <c r="R20" t="inlineStr">
        <is>
          <t>Tuesday: 8:00 AM – 5:00 PM</t>
        </is>
      </c>
      <c r="S20" t="inlineStr">
        <is>
          <t>Wednesday: 8:00 AM – 5:00 PM</t>
        </is>
      </c>
      <c r="T20" t="inlineStr">
        <is>
          <t>https://maps.google.com/?cid=14973091405830133352&amp;g_mp=Cidnb29nbGUubWFwcy5wbGFjZXMudjEuUGxhY2VzLlNlYXJjaFRleHQQAhgEIAA</t>
        </is>
      </c>
    </row>
    <row r="21" ht="15" customHeight="1" s="27">
      <c r="A21" s="65" t="inlineStr">
        <is>
          <t>ARS Air-Conditioning &amp; Refrigeration services</t>
        </is>
      </c>
      <c r="B21" s="64" t="inlineStr">
        <is>
          <t>Trades &amp; Home Services</t>
        </is>
      </c>
      <c r="C21" s="64" t="inlineStr">
        <is>
          <t>Western Cape</t>
        </is>
      </c>
      <c r="D21" s="64" t="inlineStr">
        <is>
          <t>Strand</t>
        </is>
      </c>
      <c r="E21" s="64" t="inlineStr"/>
      <c r="F21" s="64" t="inlineStr">
        <is>
          <t>082 367 6000</t>
        </is>
      </c>
      <c r="G21" s="64" t="inlineStr"/>
      <c r="H21" s="64" t="inlineStr"/>
      <c r="I21" s="64" t="inlineStr">
        <is>
          <t>No</t>
        </is>
      </c>
      <c r="J21" s="64" t="inlineStr">
        <is>
          <t>Google Maps</t>
        </is>
      </c>
      <c r="K21" s="64" t="inlineStr">
        <is>
          <t>New Lead</t>
        </is>
      </c>
      <c r="L21" s="64" t="inlineStr">
        <is>
          <t>2026-04-03</t>
        </is>
      </c>
      <c r="M21" s="64" t="inlineStr"/>
      <c r="N21" s="38" t="inlineStr">
        <is>
          <t>5 stars | 2 reviews | Monday: 8:00 AM – 5:00 PM | Tuesday: 8:00 AM – 5:00 PM | Wednesday: 8:00 AM – 5:00 PM | https://maps.google.com/?cid=16057294301577441192&amp;g_mp=Cidnb29nbGUubWFwcy5wbGFjZXMudjEuUGxhY2VzLlNlYXJjaFRleHQQAhgEIAA</t>
        </is>
      </c>
      <c r="O21" s="25" t="inlineStr">
        <is>
          <t>4.9 stars</t>
        </is>
      </c>
      <c r="P21" t="inlineStr">
        <is>
          <t>38 reviews</t>
        </is>
      </c>
      <c r="Q21" t="inlineStr">
        <is>
          <t>Monday: 8:00 AM – 6:00 PM</t>
        </is>
      </c>
      <c r="R21" t="inlineStr">
        <is>
          <t>Tuesday: 8:00 AM – 6:00 PM</t>
        </is>
      </c>
      <c r="S21" t="inlineStr">
        <is>
          <t>Wednesday: 8:00 AM – 6:00 PM</t>
        </is>
      </c>
      <c r="T21" t="inlineStr">
        <is>
          <t>https://maps.google.com/?cid=1126306609276102971&amp;g_mp=Cidnb29nbGUubWFwcy5wbGFjZXMudjEuUGxhY2VzLlNlYXJjaFRleHQQAhgEIAA</t>
        </is>
      </c>
    </row>
    <row r="22" ht="15" customHeight="1" s="27">
      <c r="A22" s="65" t="inlineStr">
        <is>
          <t>MOBILE CAR AIRCON REGAS &amp; BATTERIES</t>
        </is>
      </c>
      <c r="B22" s="65" t="inlineStr">
        <is>
          <t>Trades &amp; Home Services</t>
        </is>
      </c>
      <c r="C22" s="65" t="inlineStr">
        <is>
          <t>Western Cape</t>
        </is>
      </c>
      <c r="D22" s="65" t="inlineStr">
        <is>
          <t>Strand</t>
        </is>
      </c>
      <c r="E22" s="65" t="inlineStr"/>
      <c r="F22" s="65" t="inlineStr">
        <is>
          <t>064 408 4632</t>
        </is>
      </c>
      <c r="G22" s="65" t="inlineStr"/>
      <c r="H22" s="65" t="inlineStr"/>
      <c r="I22" s="65" t="inlineStr">
        <is>
          <t>No</t>
        </is>
      </c>
      <c r="J22" s="65" t="inlineStr">
        <is>
          <t>Google Maps</t>
        </is>
      </c>
      <c r="K22" s="65" t="inlineStr">
        <is>
          <t>New Lead</t>
        </is>
      </c>
      <c r="L22" s="65" t="inlineStr">
        <is>
          <t>2026-04-03</t>
        </is>
      </c>
      <c r="M22" s="65" t="inlineStr"/>
      <c r="N22" s="40" t="inlineStr">
        <is>
          <t>5 stars | 12 reviews | Monday: 8:00 AM – 8:00 PM | Tuesday: 8:00 AM – 8:00 PM | Wednesday: 8:00 AM – 8:00 PM | https://maps.google.com/?cid=18243218095361922341&amp;g_mp=Cidnb29nbGUubWFwcy5wbGFjZXMudjEuUGxhY2VzLlNlYXJjaFRleHQQAhgEIAA</t>
        </is>
      </c>
      <c r="O22" s="23" t="inlineStr">
        <is>
          <t>5 stars</t>
        </is>
      </c>
      <c r="P22" t="inlineStr">
        <is>
          <t>1 reviews</t>
        </is>
      </c>
      <c r="Q22" t="inlineStr">
        <is>
          <t>Monday: Open 24 hours</t>
        </is>
      </c>
      <c r="R22" t="inlineStr">
        <is>
          <t>Tuesday: Open 24 hours</t>
        </is>
      </c>
      <c r="S22" t="inlineStr">
        <is>
          <t>Wednesday: Open 24 hours</t>
        </is>
      </c>
      <c r="T22" t="inlineStr">
        <is>
          <t>https://maps.google.com/?cid=6697354469424328163&amp;g_mp=Cidnb29nbGUubWFwcy5wbGFjZXMudjEuUGxhY2VzLlNlYXJjaFRleHQQAhgEIAA</t>
        </is>
      </c>
    </row>
    <row r="23" ht="15" customHeight="1" s="27">
      <c r="A23" s="65" t="inlineStr">
        <is>
          <t>Nick &amp; Ethan Pest Control</t>
        </is>
      </c>
      <c r="B23" s="64" t="inlineStr">
        <is>
          <t>Trades &amp; Home Services</t>
        </is>
      </c>
      <c r="C23" s="64" t="inlineStr">
        <is>
          <t>Western Cape</t>
        </is>
      </c>
      <c r="D23" s="64" t="inlineStr">
        <is>
          <t>Fish Hoek</t>
        </is>
      </c>
      <c r="E23" s="64" t="inlineStr"/>
      <c r="F23" s="64" t="inlineStr">
        <is>
          <t>074 356 6279</t>
        </is>
      </c>
      <c r="G23" s="64" t="inlineStr"/>
      <c r="H23" s="64" t="inlineStr"/>
      <c r="I23" s="64" t="inlineStr">
        <is>
          <t>No</t>
        </is>
      </c>
      <c r="J23" s="64" t="inlineStr">
        <is>
          <t>Google Maps</t>
        </is>
      </c>
      <c r="K23" s="64" t="inlineStr">
        <is>
          <t>New Lead</t>
        </is>
      </c>
      <c r="L23" s="64" t="inlineStr">
        <is>
          <t>2026-04-03</t>
        </is>
      </c>
      <c r="M23" s="64" t="inlineStr"/>
      <c r="N23" s="38" t="inlineStr">
        <is>
          <t>4.9 stars | 56 reviews | Monday: Open 24 hours | Tuesday: Open 24 hours | Wednesday: Open 24 hours | https://maps.google.com/?cid=7832124028168743916&amp;g_mp=Cidnb29nbGUubWFwcy5wbGFjZXMudjEuUGxhY2VzLlNlYXJjaFRleHQQAhgEIAA</t>
        </is>
      </c>
      <c r="O23" s="25" t="inlineStr">
        <is>
          <t>5 stars</t>
        </is>
      </c>
      <c r="P23" t="inlineStr">
        <is>
          <t>1 reviews</t>
        </is>
      </c>
      <c r="Q23" t="inlineStr">
        <is>
          <t>Monday: 8:00 AM – 5:00 PM</t>
        </is>
      </c>
      <c r="R23" t="inlineStr">
        <is>
          <t>Tuesday: 8:00 AM – 5:00 PM</t>
        </is>
      </c>
      <c r="S23" t="inlineStr">
        <is>
          <t>Wednesday: 8:00 AM – 5:00 PM</t>
        </is>
      </c>
      <c r="T23" t="inlineStr">
        <is>
          <t>https://maps.google.com/?cid=12202758347105124936&amp;g_mp=Cidnb29nbGUubWFwcy5wbGFjZXMudjEuUGxhY2VzLlNlYXJjaFRleHQQAhgEIAA</t>
        </is>
      </c>
    </row>
    <row r="24" ht="15" customHeight="1" s="27">
      <c r="A24" s="65" t="inlineStr">
        <is>
          <t>King's Kid Creche</t>
        </is>
      </c>
      <c r="B24" s="65" t="inlineStr">
        <is>
          <t>Professional Services</t>
        </is>
      </c>
      <c r="C24" s="65" t="inlineStr">
        <is>
          <t>Western Cape</t>
        </is>
      </c>
      <c r="D24" s="65" t="inlineStr">
        <is>
          <t>Gardens</t>
        </is>
      </c>
      <c r="E24" s="65" t="inlineStr"/>
      <c r="F24" s="65" t="inlineStr">
        <is>
          <t>012 753 3527</t>
        </is>
      </c>
      <c r="G24" s="65" t="inlineStr"/>
      <c r="H24" s="65" t="inlineStr"/>
      <c r="I24" s="65" t="inlineStr">
        <is>
          <t>No</t>
        </is>
      </c>
      <c r="J24" s="65" t="inlineStr">
        <is>
          <t>Google Maps</t>
        </is>
      </c>
      <c r="K24" s="65" t="inlineStr">
        <is>
          <t>New Lead</t>
        </is>
      </c>
      <c r="L24" s="65" t="inlineStr">
        <is>
          <t>2026-04-03</t>
        </is>
      </c>
      <c r="M24" s="65" t="inlineStr"/>
      <c r="N24" s="40" t="inlineStr">
        <is>
          <t>4.8 stars | 9 reviews | Monday: 6:30 AM – 5:30 PM | Tuesday: 6:30 AM – 5:30 PM | Wednesday: 6:30 AM – 5:30 PM | https://maps.google.com/?cid=7241707342309437473&amp;g_mp=Cidnb29nbGUubWFwcy5wbGFjZXMudjEuUGxhY2VzLlNlYXJjaFRleHQQAhgEIAA</t>
        </is>
      </c>
      <c r="O24" s="23" t="inlineStr">
        <is>
          <t>5 stars</t>
        </is>
      </c>
      <c r="P24" t="inlineStr">
        <is>
          <t>1 reviews</t>
        </is>
      </c>
      <c r="Q24" t="inlineStr">
        <is>
          <t>Monday: 7:30 AM – 5:00 PM</t>
        </is>
      </c>
      <c r="R24" t="inlineStr">
        <is>
          <t>Tuesday: 7:00 AM – 5:00 PM</t>
        </is>
      </c>
      <c r="S24" t="inlineStr">
        <is>
          <t>Wednesday: 7:00 AM – 5:00 PM</t>
        </is>
      </c>
      <c r="T24" t="inlineStr">
        <is>
          <t>https://maps.google.com/?cid=9731750060488759204&amp;g_mp=Cidnb29nbGUubWFwcy5wbGFjZXMudjEuUGxhY2VzLlNlYXJjaFRleHQQAhgEIAA</t>
        </is>
      </c>
    </row>
    <row r="25" ht="15" customHeight="1" s="27">
      <c r="A25" s="65" t="inlineStr">
        <is>
          <t>Handyman Services and building renovators</t>
        </is>
      </c>
      <c r="B25" s="64" t="inlineStr">
        <is>
          <t>Trades &amp; Home Services</t>
        </is>
      </c>
      <c r="C25" s="64" t="inlineStr">
        <is>
          <t>Gauteng</t>
        </is>
      </c>
      <c r="D25" s="64" t="inlineStr">
        <is>
          <t>Fourways</t>
        </is>
      </c>
      <c r="E25" s="64" t="inlineStr"/>
      <c r="F25" s="64" t="inlineStr">
        <is>
          <t>083 645 4329</t>
        </is>
      </c>
      <c r="G25" s="64" t="inlineStr"/>
      <c r="H25" s="64" t="inlineStr"/>
      <c r="I25" s="64" t="inlineStr">
        <is>
          <t>No</t>
        </is>
      </c>
      <c r="J25" s="64" t="inlineStr">
        <is>
          <t>Google Maps</t>
        </is>
      </c>
      <c r="K25" s="64" t="inlineStr">
        <is>
          <t>New Lead</t>
        </is>
      </c>
      <c r="L25" s="64" t="inlineStr">
        <is>
          <t>2026-04-03</t>
        </is>
      </c>
      <c r="M25" s="64" t="inlineStr"/>
      <c r="N25" s="38" t="inlineStr">
        <is>
          <t>5 stars | 3 reviews | Monday: 7:00 AM – 10:00 PM | Tuesday: 7:00 AM – 10:00 PM | Wednesday: 7:00 AM – 10:00 PM | https://maps.google.com/?cid=10579546401697342776&amp;g_mp=Cidnb29nbGUubWFwcy5wbGFjZXMudjEuUGxhY2VzLlNlYXJjaFRleHQQAhgEIAA</t>
        </is>
      </c>
      <c r="O25" s="25" t="inlineStr">
        <is>
          <t>Monday: 9:00 AM – 5:00 PM</t>
        </is>
      </c>
      <c r="P25" t="inlineStr">
        <is>
          <t>Tuesday: 9:00 AM – 5:00 PM</t>
        </is>
      </c>
      <c r="Q25" t="inlineStr">
        <is>
          <t>Wednesday: 9:00 AM – 5:00 PM</t>
        </is>
      </c>
      <c r="R25" t="inlineStr">
        <is>
          <t>https://maps.google.com/?cid=18348841273857454593&amp;g_mp=Cidnb29nbGUubWFwcy5wbGFjZXMudjEuUGxhY2VzLlNlYXJjaFRleHQQAhgEIAA</t>
        </is>
      </c>
    </row>
    <row r="26" ht="15" customHeight="1" s="27">
      <c r="A26" s="65" t="inlineStr">
        <is>
          <t>PureSkill Handyman Services</t>
        </is>
      </c>
      <c r="B26" s="65" t="inlineStr">
        <is>
          <t>Trades &amp; Home Services</t>
        </is>
      </c>
      <c r="C26" s="65" t="inlineStr">
        <is>
          <t>Gauteng</t>
        </is>
      </c>
      <c r="D26" s="65" t="inlineStr">
        <is>
          <t>Fourways</t>
        </is>
      </c>
      <c r="E26" s="65" t="inlineStr"/>
      <c r="F26" s="65" t="inlineStr">
        <is>
          <t>084 435 9864</t>
        </is>
      </c>
      <c r="G26" s="65" t="inlineStr"/>
      <c r="H26" s="65" t="inlineStr"/>
      <c r="I26" s="65" t="inlineStr">
        <is>
          <t>No</t>
        </is>
      </c>
      <c r="J26" s="65" t="inlineStr">
        <is>
          <t>Google Maps</t>
        </is>
      </c>
      <c r="K26" s="65" t="inlineStr">
        <is>
          <t>New Lead</t>
        </is>
      </c>
      <c r="L26" s="65" t="inlineStr">
        <is>
          <t>2026-04-03</t>
        </is>
      </c>
      <c r="M26" s="65" t="inlineStr"/>
      <c r="N26" s="40" t="inlineStr">
        <is>
          <t>4.5 stars | 2 reviews | Monday: Open 24 hours | Tuesday: Open 24 hours | Wednesday: Open 24 hours | https://maps.google.com/?cid=16363898909164060442&amp;g_mp=Cidnb29nbGUubWFwcy5wbGFjZXMudjEuUGxhY2VzLlNlYXJjaFRleHQQAhgEIAA</t>
        </is>
      </c>
      <c r="O26" s="23" t="inlineStr">
        <is>
          <t>5 stars</t>
        </is>
      </c>
      <c r="P26" t="inlineStr">
        <is>
          <t>187 reviews</t>
        </is>
      </c>
      <c r="Q26" t="inlineStr">
        <is>
          <t>Monday: 8:00 AM – 5:00 PM</t>
        </is>
      </c>
      <c r="R26" t="inlineStr">
        <is>
          <t>Tuesday: 8:00 AM – 5:00 PM</t>
        </is>
      </c>
      <c r="S26" t="inlineStr">
        <is>
          <t>Wednesday: 8:00 AM – 5:00 PM</t>
        </is>
      </c>
      <c r="T26" t="inlineStr">
        <is>
          <t>https://maps.google.com/?cid=17922152422532051932&amp;g_mp=Cidnb29nbGUubWFwcy5wbGFjZXMudjEuUGxhY2VzLlNlYXJjaFRleHQQAhgEIAA</t>
        </is>
      </c>
    </row>
    <row r="27" ht="15" customHeight="1" s="27">
      <c r="A27" s="65" t="inlineStr">
        <is>
          <t>Stark Property Maintenance Pty Ltd</t>
        </is>
      </c>
      <c r="B27" s="64" t="inlineStr">
        <is>
          <t>Trades &amp; Home Services</t>
        </is>
      </c>
      <c r="C27" s="64" t="inlineStr">
        <is>
          <t>Gauteng</t>
        </is>
      </c>
      <c r="D27" s="64" t="inlineStr">
        <is>
          <t>Fourways</t>
        </is>
      </c>
      <c r="E27" s="64" t="inlineStr"/>
      <c r="F27" s="64" t="inlineStr">
        <is>
          <t>060 278 4717</t>
        </is>
      </c>
      <c r="G27" s="64" t="inlineStr"/>
      <c r="H27" s="64" t="inlineStr"/>
      <c r="I27" s="64" t="inlineStr">
        <is>
          <t>No</t>
        </is>
      </c>
      <c r="J27" s="64" t="inlineStr">
        <is>
          <t>Google Maps</t>
        </is>
      </c>
      <c r="K27" s="64" t="inlineStr">
        <is>
          <t>New Lead</t>
        </is>
      </c>
      <c r="L27" s="64" t="inlineStr">
        <is>
          <t>2026-04-03</t>
        </is>
      </c>
      <c r="M27" s="64" t="inlineStr"/>
      <c r="N27" s="38" t="inlineStr">
        <is>
          <t>4.9 stars | 38 reviews | Monday: 8:00 AM – 6:00 PM | Tuesday: 8:00 AM – 6:00 PM | Wednesday: 8:00 AM – 6:00 PM | https://maps.google.com/?cid=1126306609276102971&amp;g_mp=Cidnb29nbGUubWFwcy5wbGFjZXMudjEuUGxhY2VzLlNlYXJjaFRleHQQAhgEIAA</t>
        </is>
      </c>
      <c r="O27" s="25" t="inlineStr">
        <is>
          <t>Monday: 9:00 AM – 6:00 PM</t>
        </is>
      </c>
      <c r="P27" t="inlineStr">
        <is>
          <t>Tuesday: 9:00 AM – 6:00 PM</t>
        </is>
      </c>
      <c r="Q27" t="inlineStr">
        <is>
          <t>Wednesday: 9:00 AM – 6:00 PM</t>
        </is>
      </c>
      <c r="R27" t="inlineStr">
        <is>
          <t>https://maps.google.com/?cid=16154884876342292094&amp;g_mp=Cidnb29nbGUubWFwcy5wbGFjZXMudjEuUGxhY2VzLlNlYXJjaFRleHQQAhgEIAA</t>
        </is>
      </c>
    </row>
    <row r="28" ht="15" customHeight="1" s="27">
      <c r="A28" s="65" t="inlineStr">
        <is>
          <t>Lp handyman services</t>
        </is>
      </c>
      <c r="B28" s="65" t="inlineStr">
        <is>
          <t>Trades &amp; Home Services</t>
        </is>
      </c>
      <c r="C28" s="65" t="inlineStr">
        <is>
          <t>Gauteng</t>
        </is>
      </c>
      <c r="D28" s="65" t="inlineStr">
        <is>
          <t>Fourways</t>
        </is>
      </c>
      <c r="E28" s="65" t="inlineStr"/>
      <c r="F28" s="65" t="inlineStr">
        <is>
          <t>064 506 8167</t>
        </is>
      </c>
      <c r="G28" s="65" t="inlineStr"/>
      <c r="H28" s="65" t="inlineStr"/>
      <c r="I28" s="65" t="inlineStr">
        <is>
          <t>No</t>
        </is>
      </c>
      <c r="J28" s="65" t="inlineStr">
        <is>
          <t>Google Maps</t>
        </is>
      </c>
      <c r="K28" s="65" t="inlineStr">
        <is>
          <t>New Lead</t>
        </is>
      </c>
      <c r="L28" s="65" t="inlineStr">
        <is>
          <t>2026-04-03</t>
        </is>
      </c>
      <c r="M28" s="65" t="inlineStr"/>
      <c r="N28" s="40" t="inlineStr">
        <is>
          <t>5 stars | 1 reviews | Monday: Open 24 hours | Tuesday: Open 24 hours | Wednesday: Open 24 hours | https://maps.google.com/?cid=6697354469424328163&amp;g_mp=Cidnb29nbGUubWFwcy5wbGFjZXMudjEuUGxhY2VzLlNlYXJjaFRleHQQAhgEIAA</t>
        </is>
      </c>
      <c r="O28" s="32" t="inlineStr">
        <is>
          <t>4.9 stars</t>
        </is>
      </c>
      <c r="P28" t="inlineStr">
        <is>
          <t>35 reviews</t>
        </is>
      </c>
      <c r="Q28" t="inlineStr">
        <is>
          <t>Monday: 8:00 AM – 5:00 PM</t>
        </is>
      </c>
      <c r="R28" t="inlineStr">
        <is>
          <t>Tuesday: 8:00 AM – 5:00 PM</t>
        </is>
      </c>
      <c r="S28" t="inlineStr">
        <is>
          <t>Wednesday: 8:00 AM – 5:00 PM</t>
        </is>
      </c>
      <c r="T28" t="inlineStr">
        <is>
          <t>https://maps.google.com/?cid=16490594898542080455&amp;g_mp=Cidnb29nbGUubWFwcy5wbGFjZXMudjEuUGxhY2VzLlNlYXJjaFRleHQQAhgEIAA</t>
        </is>
      </c>
    </row>
    <row r="29" ht="15" customHeight="1" s="27">
      <c r="A29" s="65" t="inlineStr">
        <is>
          <t>SPJ HANDYMANSERVICES</t>
        </is>
      </c>
      <c r="B29" s="64" t="inlineStr">
        <is>
          <t>Trades &amp; Home Services</t>
        </is>
      </c>
      <c r="C29" s="64" t="inlineStr">
        <is>
          <t>Gauteng</t>
        </is>
      </c>
      <c r="D29" s="64" t="inlineStr">
        <is>
          <t>Fourways</t>
        </is>
      </c>
      <c r="E29" s="64" t="inlineStr"/>
      <c r="F29" s="64" t="inlineStr">
        <is>
          <t>067 864 0570</t>
        </is>
      </c>
      <c r="G29" s="64" t="inlineStr"/>
      <c r="H29" s="64" t="inlineStr"/>
      <c r="I29" s="64" t="inlineStr">
        <is>
          <t>No</t>
        </is>
      </c>
      <c r="J29" s="64" t="inlineStr">
        <is>
          <t>Google Maps</t>
        </is>
      </c>
      <c r="K29" s="64" t="inlineStr">
        <is>
          <t>New Lead</t>
        </is>
      </c>
      <c r="L29" s="64" t="inlineStr">
        <is>
          <t>2026-04-03</t>
        </is>
      </c>
      <c r="M29" s="64" t="inlineStr"/>
      <c r="N29" s="38" t="inlineStr">
        <is>
          <t>5 stars | 1 reviews | Monday: Open 24 hours | Tuesday: Open 24 hours | Wednesday: Open 24 hours | https://maps.google.com/?cid=17489594083991308585&amp;g_mp=Cidnb29nbGUubWFwcy5wbGFjZXMudjEuUGxhY2VzLlNlYXJjaFRleHQQAhgEIAA</t>
        </is>
      </c>
      <c r="O29" s="33" t="inlineStr">
        <is>
          <t>5 stars</t>
        </is>
      </c>
      <c r="P29" t="inlineStr">
        <is>
          <t>5 reviews</t>
        </is>
      </c>
      <c r="Q29" t="inlineStr">
        <is>
          <t>Monday: Open 24 hours</t>
        </is>
      </c>
      <c r="R29" t="inlineStr">
        <is>
          <t>Tuesday: Open 24 hours</t>
        </is>
      </c>
      <c r="S29" t="inlineStr">
        <is>
          <t>Wednesday: Open 24 hours</t>
        </is>
      </c>
      <c r="T29" t="inlineStr">
        <is>
          <t>https://maps.google.com/?cid=705454782546344867&amp;g_mp=Cidnb29nbGUubWFwcy5wbGFjZXMudjEuUGxhY2VzLlNlYXJjaFRleHQQAhgEIAA</t>
        </is>
      </c>
    </row>
    <row r="30" ht="15" customHeight="1" s="27">
      <c r="A30" s="65" t="inlineStr">
        <is>
          <t>Jayden Handyman</t>
        </is>
      </c>
      <c r="B30" s="65" t="inlineStr">
        <is>
          <t>Trades &amp; Home Services</t>
        </is>
      </c>
      <c r="C30" s="65" t="inlineStr">
        <is>
          <t>Gauteng</t>
        </is>
      </c>
      <c r="D30" s="65" t="inlineStr">
        <is>
          <t>Fourways</t>
        </is>
      </c>
      <c r="E30" s="65" t="inlineStr"/>
      <c r="F30" s="65" t="inlineStr">
        <is>
          <t>068 662 2533</t>
        </is>
      </c>
      <c r="G30" s="65" t="inlineStr"/>
      <c r="H30" s="65" t="inlineStr"/>
      <c r="I30" s="65" t="inlineStr">
        <is>
          <t>No</t>
        </is>
      </c>
      <c r="J30" s="65" t="inlineStr">
        <is>
          <t>Google Maps</t>
        </is>
      </c>
      <c r="K30" s="65" t="inlineStr">
        <is>
          <t>New Lead</t>
        </is>
      </c>
      <c r="L30" s="65" t="inlineStr">
        <is>
          <t>2026-04-03</t>
        </is>
      </c>
      <c r="M30" s="65" t="inlineStr"/>
      <c r="N30" s="40" t="inlineStr">
        <is>
          <t>4.9 stars | 12 reviews | https://maps.google.com/?cid=16758636031194280299&amp;g_mp=Cidnb29nbGUubWFwcy5wbGFjZXMudjEuUGxhY2VzLlNlYXJjaFRleHQQAhgEIAA</t>
        </is>
      </c>
      <c r="O30" s="23" t="inlineStr">
        <is>
          <t>4.9 stars</t>
        </is>
      </c>
      <c r="P30" t="inlineStr">
        <is>
          <t>158 reviews</t>
        </is>
      </c>
      <c r="Q30" t="inlineStr">
        <is>
          <t>Monday: 8:00 AM – 5:00 PM</t>
        </is>
      </c>
      <c r="R30" t="inlineStr">
        <is>
          <t>Tuesday: 8:00 AM – 5:00 PM</t>
        </is>
      </c>
      <c r="S30" t="inlineStr">
        <is>
          <t>Wednesday: 8:00 AM – 5:00 PM</t>
        </is>
      </c>
      <c r="T30" t="inlineStr">
        <is>
          <t>https://maps.google.com/?cid=11152493120617911190&amp;g_mp=Cidnb29nbGUubWFwcy5wbGFjZXMudjEuUGxhY2VzLlNlYXJjaFRleHQQAhgEIAA</t>
        </is>
      </c>
    </row>
    <row r="31" ht="15" customHeight="1" s="27">
      <c r="A31" s="65" t="inlineStr">
        <is>
          <t>At Your Place Catering</t>
        </is>
      </c>
      <c r="B31" s="64" t="inlineStr">
        <is>
          <t>Food &amp; Hospitality</t>
        </is>
      </c>
      <c r="C31" s="64" t="inlineStr">
        <is>
          <t>Gauteng</t>
        </is>
      </c>
      <c r="D31" s="64" t="inlineStr">
        <is>
          <t>Menlyn</t>
        </is>
      </c>
      <c r="E31" s="64" t="inlineStr"/>
      <c r="F31" s="64" t="inlineStr">
        <is>
          <t>084 503 8661</t>
        </is>
      </c>
      <c r="G31" s="64" t="inlineStr"/>
      <c r="H31" s="64" t="inlineStr"/>
      <c r="I31" s="64" t="inlineStr">
        <is>
          <t>No</t>
        </is>
      </c>
      <c r="J31" s="64" t="inlineStr">
        <is>
          <t>Google Maps</t>
        </is>
      </c>
      <c r="K31" s="64" t="inlineStr">
        <is>
          <t>New Lead</t>
        </is>
      </c>
      <c r="L31" s="64" t="inlineStr">
        <is>
          <t>2026-04-03</t>
        </is>
      </c>
      <c r="M31" s="64" t="inlineStr"/>
      <c r="N31" s="38" t="inlineStr">
        <is>
          <t>5 stars | 1 reviews | Monday: 8:00 AM – 5:00 PM | Tuesday: 8:00 AM – 5:00 PM | Wednesday: 8:00 AM – 5:00 PM | https://maps.google.com/?cid=11214900659229279853&amp;g_mp=Cidnb29nbGUubWFwcy5wbGFjZXMudjEuUGxhY2VzLlNlYXJjaFRleHQQAhgEIAA</t>
        </is>
      </c>
      <c r="O31" s="33" t="inlineStr">
        <is>
          <t>3.4 stars</t>
        </is>
      </c>
      <c r="P31" t="inlineStr">
        <is>
          <t>7 reviews</t>
        </is>
      </c>
      <c r="Q31" t="inlineStr">
        <is>
          <t>Monday: 8:30 AM – 6:30 PM</t>
        </is>
      </c>
      <c r="R31" t="inlineStr">
        <is>
          <t>Tuesday: 8:30 AM – 6:30 PM</t>
        </is>
      </c>
      <c r="S31" t="inlineStr">
        <is>
          <t>Wednesday: 7:30 AM – 6:30 PM</t>
        </is>
      </c>
      <c r="T31" t="inlineStr">
        <is>
          <t>https://maps.google.com/?cid=15971280205286167228&amp;g_mp=Cidnb29nbGUubWFwcy5wbGFjZXMudjEuUGxhY2VzLlNlYXJjaFRleHQQAhgEIAA</t>
        </is>
      </c>
    </row>
    <row r="32" ht="15" customHeight="1" s="27">
      <c r="A32" s="65" t="inlineStr">
        <is>
          <t>Soulfood catering</t>
        </is>
      </c>
      <c r="B32" s="65" t="inlineStr">
        <is>
          <t>Food &amp; Hospitality</t>
        </is>
      </c>
      <c r="C32" s="65" t="inlineStr">
        <is>
          <t>Gauteng</t>
        </is>
      </c>
      <c r="D32" s="65" t="inlineStr">
        <is>
          <t>Menlyn</t>
        </is>
      </c>
      <c r="E32" s="65" t="inlineStr"/>
      <c r="F32" s="65" t="inlineStr"/>
      <c r="G32" s="65" t="inlineStr"/>
      <c r="H32" s="65" t="inlineStr"/>
      <c r="I32" s="65" t="inlineStr">
        <is>
          <t>No</t>
        </is>
      </c>
      <c r="J32" s="65" t="inlineStr">
        <is>
          <t>Google Maps</t>
        </is>
      </c>
      <c r="K32" s="65" t="inlineStr">
        <is>
          <t>New Lead</t>
        </is>
      </c>
      <c r="L32" s="65" t="inlineStr">
        <is>
          <t>2026-04-03</t>
        </is>
      </c>
      <c r="M32" s="65" t="inlineStr"/>
      <c r="N32" s="40" t="inlineStr">
        <is>
          <t>https://maps.google.com/?cid=2127642918173484467&amp;g_mp=Cidnb29nbGUubWFwcy5wbGFjZXMudjEuUGxhY2VzLlNlYXJjaFRleHQQAhgEIAA</t>
        </is>
      </c>
      <c r="O32" s="23" t="inlineStr">
        <is>
          <t>4.8 stars</t>
        </is>
      </c>
      <c r="P32" t="inlineStr">
        <is>
          <t>16 reviews</t>
        </is>
      </c>
      <c r="Q32" t="inlineStr">
        <is>
          <t>Monday: 8:00 AM – 6:00 PM</t>
        </is>
      </c>
      <c r="R32" t="inlineStr">
        <is>
          <t>Tuesday: 8:00 AM – 6:00 PM</t>
        </is>
      </c>
      <c r="S32" t="inlineStr">
        <is>
          <t>Wednesday: 8:00 AM – 6:00 PM</t>
        </is>
      </c>
      <c r="T32" t="inlineStr">
        <is>
          <t>https://maps.google.com/?cid=17139290106882878602&amp;g_mp=Cidnb29nbGUubWFwcy5wbGFjZXMudjEuUGxhY2VzLlNlYXJjaFRleHQQAhgEIAA</t>
        </is>
      </c>
    </row>
    <row r="33" ht="15" customHeight="1" s="27">
      <c r="A33" s="65" t="inlineStr">
        <is>
          <t>Sankofa Specialist Caterers</t>
        </is>
      </c>
      <c r="B33" s="64" t="inlineStr">
        <is>
          <t>Food &amp; Hospitality</t>
        </is>
      </c>
      <c r="C33" s="64" t="inlineStr">
        <is>
          <t>Gauteng</t>
        </is>
      </c>
      <c r="D33" s="64" t="inlineStr">
        <is>
          <t>Menlyn</t>
        </is>
      </c>
      <c r="E33" s="64" t="inlineStr"/>
      <c r="F33" s="64" t="inlineStr">
        <is>
          <t>082 461 0321</t>
        </is>
      </c>
      <c r="G33" s="64" t="inlineStr"/>
      <c r="H33" s="64" t="inlineStr"/>
      <c r="I33" s="64" t="inlineStr">
        <is>
          <t>No</t>
        </is>
      </c>
      <c r="J33" s="64" t="inlineStr">
        <is>
          <t>Google Maps</t>
        </is>
      </c>
      <c r="K33" s="64" t="inlineStr">
        <is>
          <t>New Lead</t>
        </is>
      </c>
      <c r="L33" s="64" t="inlineStr">
        <is>
          <t>2026-04-03</t>
        </is>
      </c>
      <c r="M33" s="64" t="inlineStr"/>
      <c r="N33" s="38" t="inlineStr">
        <is>
          <t>5 stars | 4 reviews | Monday: 7:00 AM – 4:00 PM | Tuesday: 7:00 AM – 4:00 PM | Wednesday: 7:00 AM – 4:00 PM | https://maps.google.com/?cid=580253518917349460&amp;g_mp=Cidnb29nbGUubWFwcy5wbGFjZXMudjEuUGxhY2VzLlNlYXJjaFRleHQQAhgEIAA</t>
        </is>
      </c>
      <c r="O33" s="25" t="inlineStr">
        <is>
          <t>4.1 stars</t>
        </is>
      </c>
      <c r="P33" t="inlineStr">
        <is>
          <t>110 reviews</t>
        </is>
      </c>
      <c r="Q33" t="inlineStr">
        <is>
          <t>https://maps.google.com/?cid=14422666823983000248&amp;g_mp=Cidnb29nbGUubWFwcy5wbGFjZXMudjEuUGxhY2VzLlNlYXJjaFRleHQQAhgEIAA</t>
        </is>
      </c>
    </row>
    <row r="34" ht="15" customHeight="1" s="27">
      <c r="A34" s="65" t="inlineStr">
        <is>
          <t>MENLYN SELF CATERING</t>
        </is>
      </c>
      <c r="B34" s="65" t="inlineStr">
        <is>
          <t>Food &amp; Hospitality</t>
        </is>
      </c>
      <c r="C34" s="65" t="inlineStr">
        <is>
          <t>Gauteng</t>
        </is>
      </c>
      <c r="D34" s="65" t="inlineStr">
        <is>
          <t>Menlyn</t>
        </is>
      </c>
      <c r="E34" s="65" t="inlineStr"/>
      <c r="F34" s="65" t="inlineStr">
        <is>
          <t>076 288 8600</t>
        </is>
      </c>
      <c r="G34" s="65" t="inlineStr"/>
      <c r="H34" s="65" t="inlineStr"/>
      <c r="I34" s="65" t="inlineStr">
        <is>
          <t>No</t>
        </is>
      </c>
      <c r="J34" s="65" t="inlineStr">
        <is>
          <t>Google Maps</t>
        </is>
      </c>
      <c r="K34" s="65" t="inlineStr">
        <is>
          <t>New Lead</t>
        </is>
      </c>
      <c r="L34" s="65" t="inlineStr">
        <is>
          <t>2026-04-03</t>
        </is>
      </c>
      <c r="M34" s="65" t="inlineStr"/>
      <c r="N34" s="40" t="inlineStr">
        <is>
          <t>Monday: 8:00 AM – 7:00 PM | Tuesday: 8:00 AM – 7:00 PM | Wednesday: 8:00 AM – 7:00 PM | https://maps.google.com/?cid=2465957039450054252&amp;g_mp=Cidnb29nbGUubWFwcy5wbGFjZXMudjEuUGxhY2VzLlNlYXJjaFRleHQQAhgEIAA</t>
        </is>
      </c>
      <c r="O34" s="23" t="inlineStr">
        <is>
          <t>4.3 stars</t>
        </is>
      </c>
      <c r="P34" t="inlineStr">
        <is>
          <t>8 reviews</t>
        </is>
      </c>
      <c r="Q34" t="inlineStr">
        <is>
          <t>Monday: 8:00 AM – 5:00 PM</t>
        </is>
      </c>
      <c r="R34" t="inlineStr">
        <is>
          <t>Tuesday: 8:00 AM – 5:00 PM</t>
        </is>
      </c>
      <c r="S34" t="inlineStr">
        <is>
          <t>Wednesday: 8:00 AM – 5:00 PM</t>
        </is>
      </c>
      <c r="T34" t="inlineStr">
        <is>
          <t>https://maps.google.com/?cid=65151722494489817&amp;g_mp=Cidnb29nbGUubWFwcy5wbGFjZXMudjEuUGxhY2VzLlNlYXJjaFRleHQQAhgEIAA</t>
        </is>
      </c>
    </row>
    <row r="35" ht="15" customHeight="1" s="27">
      <c r="A35" s="65" t="inlineStr">
        <is>
          <t>The Second Wife</t>
        </is>
      </c>
      <c r="B35" s="64" t="inlineStr">
        <is>
          <t>Food &amp; Hospitality</t>
        </is>
      </c>
      <c r="C35" s="64" t="inlineStr">
        <is>
          <t>KwaZulu-Natal</t>
        </is>
      </c>
      <c r="D35" s="64" t="inlineStr">
        <is>
          <t>Chatsworth</t>
        </is>
      </c>
      <c r="E35" s="64" t="inlineStr"/>
      <c r="F35" s="64" t="inlineStr">
        <is>
          <t>061 133 1234</t>
        </is>
      </c>
      <c r="G35" s="64" t="inlineStr"/>
      <c r="H35" s="64" t="inlineStr"/>
      <c r="I35" s="64" t="inlineStr">
        <is>
          <t>No</t>
        </is>
      </c>
      <c r="J35" s="64" t="inlineStr">
        <is>
          <t>Google Maps</t>
        </is>
      </c>
      <c r="K35" s="64" t="inlineStr">
        <is>
          <t>New Lead</t>
        </is>
      </c>
      <c r="L35" s="64" t="inlineStr">
        <is>
          <t>2026-04-04</t>
        </is>
      </c>
      <c r="M35" s="64" t="inlineStr"/>
      <c r="N35" s="38" t="inlineStr">
        <is>
          <t>3.5 stars | 253 reviews | Monday: 10:00 AM – 9:00 PM | Tuesday: 10:00 AM – 9:00 PM | Wednesday: 10:00 AM – 9:00 PM | https://maps.google.com/?cid=2346574056258469311&amp;g_mp=Cidnb29nbGUubWFwcy5wbGFjZXMudjEuUGxhY2VzLlNlYXJjaFRleHQQAhgEIAA</t>
        </is>
      </c>
      <c r="O35" s="25" t="inlineStr">
        <is>
          <t>5 stars</t>
        </is>
      </c>
      <c r="P35" t="inlineStr">
        <is>
          <t>5 reviews</t>
        </is>
      </c>
      <c r="Q35" t="inlineStr">
        <is>
          <t>Monday: 7:00 AM – 6:00 PM</t>
        </is>
      </c>
      <c r="R35" t="inlineStr">
        <is>
          <t>Tuesday: 7:00 AM – 6:00 PM</t>
        </is>
      </c>
      <c r="S35" t="inlineStr">
        <is>
          <t>Wednesday: 7:00 AM – 6:00 PM</t>
        </is>
      </c>
      <c r="T35" t="inlineStr">
        <is>
          <t>https://maps.google.com/?cid=16038360317746772705&amp;g_mp=Cidnb29nbGUubWFwcy5wbGFjZXMudjEuUGxhY2VzLlNlYXJjaFRleHQQAhgEIAA</t>
        </is>
      </c>
    </row>
    <row r="36" ht="15" customHeight="1" s="27">
      <c r="A36" s="65" t="inlineStr">
        <is>
          <t>Copper Chimney</t>
        </is>
      </c>
      <c r="B36" s="65" t="inlineStr">
        <is>
          <t>Food &amp; Hospitality</t>
        </is>
      </c>
      <c r="C36" s="65" t="inlineStr">
        <is>
          <t>KwaZulu-Natal</t>
        </is>
      </c>
      <c r="D36" s="65" t="inlineStr">
        <is>
          <t>Chatsworth</t>
        </is>
      </c>
      <c r="E36" s="65" t="inlineStr"/>
      <c r="F36" s="65" t="inlineStr">
        <is>
          <t>031 401 3812</t>
        </is>
      </c>
      <c r="G36" s="65" t="inlineStr"/>
      <c r="H36" s="65" t="inlineStr"/>
      <c r="I36" s="65" t="inlineStr">
        <is>
          <t>No</t>
        </is>
      </c>
      <c r="J36" s="65" t="inlineStr">
        <is>
          <t>Google Maps</t>
        </is>
      </c>
      <c r="K36" s="65" t="inlineStr">
        <is>
          <t>New Lead</t>
        </is>
      </c>
      <c r="L36" s="65" t="inlineStr">
        <is>
          <t>2026-04-04</t>
        </is>
      </c>
      <c r="M36" s="65" t="inlineStr"/>
      <c r="N36" s="40" t="inlineStr">
        <is>
          <t>3.4 stars | 217 reviews | Monday: Open 24 hours | Tuesday: Open 24 hours | Wednesday: Open 24 hours | https://maps.google.com/?cid=2798449959599497030&amp;g_mp=Cidnb29nbGUubWFwcy5wbGFjZXMudjEuUGxhY2VzLlNlYXJjaFRleHQQAhgEIAA</t>
        </is>
      </c>
      <c r="O36" s="23" t="inlineStr">
        <is>
          <t>4.3 stars</t>
        </is>
      </c>
      <c r="P36" t="inlineStr">
        <is>
          <t>24 reviews</t>
        </is>
      </c>
      <c r="Q36" t="inlineStr">
        <is>
          <t>Monday: 8:00 – 11:00 AM, 3:00 – 5:30 PM</t>
        </is>
      </c>
      <c r="R36" t="inlineStr">
        <is>
          <t>Tuesday: 8:00 – 11:00 AM, 3:00 – 5:30 PM</t>
        </is>
      </c>
      <c r="S36" t="inlineStr">
        <is>
          <t>Wednesday: 8:00 – 11:00 AM, 3:00 – 5:30 PM</t>
        </is>
      </c>
      <c r="T36" t="inlineStr">
        <is>
          <t>https://maps.google.com/?cid=14681080575329359722&amp;g_mp=Cidnb29nbGUubWFwcy5wbGFjZXMudjEuUGxhY2VzLlNlYXJjaFRleHQQAhgEIAA</t>
        </is>
      </c>
    </row>
    <row r="37" ht="15" customHeight="1" s="27">
      <c r="A37" s="65" t="inlineStr">
        <is>
          <t>Govinda's Restaurant &amp; Boutique</t>
        </is>
      </c>
      <c r="B37" s="64" t="inlineStr">
        <is>
          <t>Food &amp; Hospitality</t>
        </is>
      </c>
      <c r="C37" s="64" t="inlineStr">
        <is>
          <t>KwaZulu-Natal</t>
        </is>
      </c>
      <c r="D37" s="64" t="inlineStr">
        <is>
          <t>Chatsworth</t>
        </is>
      </c>
      <c r="E37" s="64" t="inlineStr"/>
      <c r="F37" s="64" t="inlineStr">
        <is>
          <t>031 403 3328</t>
        </is>
      </c>
      <c r="G37" s="64" t="inlineStr"/>
      <c r="H37" s="64" t="inlineStr"/>
      <c r="I37" s="64" t="inlineStr">
        <is>
          <t>No</t>
        </is>
      </c>
      <c r="J37" s="64" t="inlineStr">
        <is>
          <t>Google Maps</t>
        </is>
      </c>
      <c r="K37" s="64" t="inlineStr">
        <is>
          <t>New Lead</t>
        </is>
      </c>
      <c r="L37" s="64" t="inlineStr">
        <is>
          <t>2026-04-04</t>
        </is>
      </c>
      <c r="M37" s="64" t="inlineStr"/>
      <c r="N37" s="38" t="inlineStr">
        <is>
          <t>4.7 stars | 55 reviews | Monday: 9:30 AM – 6:00 PM | Tuesday: 9:30 AM – 6:00 PM | Wednesday: 9:30 AM – 6:00 PM | https://maps.google.com/?cid=14320850139577209005&amp;g_mp=Cidnb29nbGUubWFwcy5wbGFjZXMudjEuUGxhY2VzLlNlYXJjaFRleHQQAhgEIAA</t>
        </is>
      </c>
      <c r="O37" s="25" t="inlineStr">
        <is>
          <t>4.4 stars</t>
        </is>
      </c>
      <c r="P37" t="inlineStr">
        <is>
          <t>107 reviews</t>
        </is>
      </c>
      <c r="Q37" t="inlineStr">
        <is>
          <t>Monday: 9:00 AM – 12:30 PM, 3:30 – 6:00 PM</t>
        </is>
      </c>
      <c r="R37" t="inlineStr">
        <is>
          <t>Tuesday: 9:00 AM – 12:30 PM, 3:30 – 6:00 PM</t>
        </is>
      </c>
      <c r="S37" t="inlineStr">
        <is>
          <t>Wednesday: 9:00 AM – 12:30 PM, 3:30 – 6:00 PM</t>
        </is>
      </c>
      <c r="T37" t="inlineStr">
        <is>
          <t>https://maps.google.com/?cid=14435866198734539550&amp;g_mp=Cidnb29nbGUubWFwcy5wbGFjZXMudjEuUGxhY2VzLlNlYXJjaFRleHQQAhgEIAA</t>
        </is>
      </c>
    </row>
    <row r="38" ht="15" customHeight="1" s="27">
      <c r="A38" s="65" t="inlineStr">
        <is>
          <t>Checotah Spur Steak Ranch (Halaal)</t>
        </is>
      </c>
      <c r="B38" s="65" t="inlineStr">
        <is>
          <t>Food &amp; Hospitality</t>
        </is>
      </c>
      <c r="C38" s="65" t="inlineStr">
        <is>
          <t>KwaZulu-Natal</t>
        </is>
      </c>
      <c r="D38" s="65" t="inlineStr">
        <is>
          <t>Chatsworth</t>
        </is>
      </c>
      <c r="E38" s="65" t="inlineStr"/>
      <c r="F38" s="65" t="inlineStr"/>
      <c r="G38" s="65" t="inlineStr"/>
      <c r="H38" s="65" t="inlineStr"/>
      <c r="I38" s="65" t="inlineStr">
        <is>
          <t>No</t>
        </is>
      </c>
      <c r="J38" s="65" t="inlineStr">
        <is>
          <t>Google Maps</t>
        </is>
      </c>
      <c r="K38" s="65" t="inlineStr">
        <is>
          <t>New Lead</t>
        </is>
      </c>
      <c r="L38" s="65" t="inlineStr">
        <is>
          <t>2026-04-04</t>
        </is>
      </c>
      <c r="M38" s="65" t="inlineStr"/>
      <c r="N38" s="40" t="inlineStr">
        <is>
          <t>4.1 stars | 1049 reviews | Monday: 8:00 AM – 9:00 PM | Tuesday: 8:00 AM – 9:00 PM | Wednesday: 8:00 AM – 9:00 PM | https://maps.google.com/?cid=5953807309119302951&amp;g_mp=Cidnb29nbGUubWFwcy5wbGFjZXMudjEuUGxhY2VzLlNlYXJjaFRleHQQAhgEIAA</t>
        </is>
      </c>
      <c r="O38" s="23" t="inlineStr">
        <is>
          <t>5 stars</t>
        </is>
      </c>
      <c r="P38" t="inlineStr">
        <is>
          <t>3 reviews</t>
        </is>
      </c>
      <c r="Q38" t="inlineStr">
        <is>
          <t>Monday: 8:00 AM – 6:00 PM</t>
        </is>
      </c>
      <c r="R38" t="inlineStr">
        <is>
          <t>Tuesday: 8:00 AM – 6:00 PM</t>
        </is>
      </c>
      <c r="S38" t="inlineStr">
        <is>
          <t>Wednesday: 8:00 AM – 6:00 PM</t>
        </is>
      </c>
      <c r="T38" t="inlineStr">
        <is>
          <t>https://maps.google.com/?cid=5879414624676292877&amp;g_mp=Cidnb29nbGUubWFwcy5wbGFjZXMudjEuUGxhY2VzLlNlYXJjaFRleHQQAhgEIAA</t>
        </is>
      </c>
    </row>
    <row r="39" ht="15" customHeight="1" s="27">
      <c r="A39" s="65" t="inlineStr">
        <is>
          <t>Cronos Moreleta Park Plumbers &amp; Electricians</t>
        </is>
      </c>
      <c r="B39" s="64" t="inlineStr">
        <is>
          <t>Trades &amp; Home Services</t>
        </is>
      </c>
      <c r="C39" s="64" t="inlineStr">
        <is>
          <t>Gauteng</t>
        </is>
      </c>
      <c r="D39" s="64" t="inlineStr">
        <is>
          <t>Pretoria East</t>
        </is>
      </c>
      <c r="E39" s="64" t="inlineStr"/>
      <c r="F39" s="64" t="inlineStr">
        <is>
          <t>069 595 3715</t>
        </is>
      </c>
      <c r="G39" s="64" t="inlineStr"/>
      <c r="H39" s="64" t="inlineStr"/>
      <c r="I39" s="64" t="inlineStr">
        <is>
          <t>No</t>
        </is>
      </c>
      <c r="J39" s="64" t="inlineStr">
        <is>
          <t>Google Maps</t>
        </is>
      </c>
      <c r="K39" s="64" t="inlineStr">
        <is>
          <t>New Lead</t>
        </is>
      </c>
      <c r="L39" s="64" t="inlineStr">
        <is>
          <t>2026-04-04</t>
        </is>
      </c>
      <c r="M39" s="64" t="inlineStr"/>
      <c r="N39" s="38" t="inlineStr">
        <is>
          <t>4.7 stars | 14 reviews | Monday: Open 24 hours | Tuesday: Open 24 hours | Wednesday: Open 24 hours | https://maps.google.com/?cid=3588421573338864152&amp;g_mp=Cidnb29nbGUubWFwcy5wbGFjZXMudjEuUGxhY2VzLlNlYXJjaFRleHQQAhgEIAA</t>
        </is>
      </c>
      <c r="O39" s="25" t="inlineStr">
        <is>
          <t>5 stars</t>
        </is>
      </c>
      <c r="P39" t="inlineStr">
        <is>
          <t>1 reviews</t>
        </is>
      </c>
      <c r="Q39" t="inlineStr">
        <is>
          <t>Monday: Closed</t>
        </is>
      </c>
      <c r="R39" t="inlineStr">
        <is>
          <t>Tuesday: 8:00 AM – 5:00 PM</t>
        </is>
      </c>
      <c r="S39" t="inlineStr">
        <is>
          <t>Wednesday: 8:00 AM – 5:00 PM</t>
        </is>
      </c>
      <c r="T39" t="inlineStr">
        <is>
          <t>https://maps.google.com/?cid=6278432878887015311&amp;g_mp=Cidnb29nbGUubWFwcy5wbGFjZXMudjEuUGxhY2VzLlNlYXJjaFRleHQQAhgEIAA</t>
        </is>
      </c>
    </row>
    <row r="40" ht="15" customHeight="1" s="27">
      <c r="A40" s="65" t="inlineStr">
        <is>
          <t>CR Plumbers &amp; Electricians-Garsfontein</t>
        </is>
      </c>
      <c r="B40" s="65" t="inlineStr">
        <is>
          <t>Trades &amp; Home Services</t>
        </is>
      </c>
      <c r="C40" s="65" t="inlineStr">
        <is>
          <t>Gauteng</t>
        </is>
      </c>
      <c r="D40" s="65" t="inlineStr">
        <is>
          <t>Pretoria East</t>
        </is>
      </c>
      <c r="E40" s="65" t="inlineStr"/>
      <c r="F40" s="65" t="inlineStr">
        <is>
          <t>084 684 5336</t>
        </is>
      </c>
      <c r="G40" s="65" t="inlineStr"/>
      <c r="H40" s="65" t="inlineStr"/>
      <c r="I40" s="65" t="inlineStr">
        <is>
          <t>No</t>
        </is>
      </c>
      <c r="J40" s="65" t="inlineStr">
        <is>
          <t>Google Maps</t>
        </is>
      </c>
      <c r="K40" s="65" t="inlineStr">
        <is>
          <t>New Lead</t>
        </is>
      </c>
      <c r="L40" s="65" t="inlineStr">
        <is>
          <t>2026-04-04</t>
        </is>
      </c>
      <c r="M40" s="65" t="inlineStr"/>
      <c r="N40" s="40" t="inlineStr">
        <is>
          <t>4.6 stars | 44 reviews | Monday: Open 24 hours | Tuesday: Open 24 hours | Wednesday: Open 24 hours | https://maps.google.com/?cid=2899791334340290673&amp;g_mp=Cidnb29nbGUubWFwcy5wbGFjZXMudjEuUGxhY2VzLlNlYXJjaFRleHQQAhgEIAA</t>
        </is>
      </c>
      <c r="O40" s="23" t="inlineStr">
        <is>
          <t>5 stars</t>
        </is>
      </c>
      <c r="P40" t="inlineStr">
        <is>
          <t>37 reviews</t>
        </is>
      </c>
      <c r="Q40" t="inlineStr">
        <is>
          <t>Monday: 8:00 AM – 4:30 PM</t>
        </is>
      </c>
      <c r="R40" t="inlineStr">
        <is>
          <t>Tuesday: 8:00 AM – 4:30 PM</t>
        </is>
      </c>
      <c r="S40" t="inlineStr">
        <is>
          <t>Wednesday: 8:00 AM – 4:30 PM</t>
        </is>
      </c>
      <c r="T40" t="inlineStr">
        <is>
          <t>https://maps.google.com/?cid=7333345662632445409&amp;g_mp=Cidnb29nbGUubWFwcy5wbGFjZXMudjEuUGxhY2VzLlNlYXJjaFRleHQQAhgEIAA</t>
        </is>
      </c>
    </row>
    <row r="41" ht="15" customHeight="1" s="27">
      <c r="A41" s="65" t="inlineStr">
        <is>
          <t>LJs Lash&amp;Beauty Lounge</t>
        </is>
      </c>
      <c r="B41" s="64" t="inlineStr">
        <is>
          <t>Beauty &amp; Wellness</t>
        </is>
      </c>
      <c r="C41" s="64" t="inlineStr">
        <is>
          <t>Western Cape</t>
        </is>
      </c>
      <c r="D41" s="64" t="inlineStr">
        <is>
          <t>Durbanville</t>
        </is>
      </c>
      <c r="E41" s="64" t="inlineStr"/>
      <c r="F41" s="64" t="inlineStr">
        <is>
          <t>060 675 2114</t>
        </is>
      </c>
      <c r="G41" s="64" t="inlineStr"/>
      <c r="H41" s="64" t="inlineStr"/>
      <c r="I41" s="64" t="inlineStr">
        <is>
          <t>No</t>
        </is>
      </c>
      <c r="J41" s="64" t="inlineStr">
        <is>
          <t>Google Maps</t>
        </is>
      </c>
      <c r="K41" s="64" t="inlineStr">
        <is>
          <t>New Lead</t>
        </is>
      </c>
      <c r="L41" s="64" t="inlineStr">
        <is>
          <t>2026-04-04</t>
        </is>
      </c>
      <c r="M41" s="64" t="inlineStr"/>
      <c r="N41" s="38" t="inlineStr">
        <is>
          <t>4.7 stars | 11 reviews | Monday: 9:00 AM – 5:00 PM | Tuesday: 9:00 AM – 7:00 PM | Wednesday: 9:00 AM – 5:00 PM | https://maps.google.com/?cid=9576612907672604464&amp;g_mp=Cidnb29nbGUubWFwcy5wbGFjZXMudjEuUGxhY2VzLlNlYXJjaFRleHQQAhgEIAA</t>
        </is>
      </c>
      <c r="O41" s="25" t="inlineStr">
        <is>
          <t>4.6 stars</t>
        </is>
      </c>
      <c r="P41" t="inlineStr">
        <is>
          <t>14 reviews</t>
        </is>
      </c>
      <c r="Q41" t="inlineStr">
        <is>
          <t>Monday: 8:00 AM – 5:00 PM</t>
        </is>
      </c>
      <c r="R41" t="inlineStr">
        <is>
          <t>Tuesday: 8:00 AM – 5:00 PM</t>
        </is>
      </c>
      <c r="S41" t="inlineStr">
        <is>
          <t>Wednesday: 8:00 AM – 5:00 PM</t>
        </is>
      </c>
      <c r="T41" t="inlineStr">
        <is>
          <t>https://maps.google.com/?cid=2808044374855743598&amp;g_mp=Cidnb29nbGUubWFwcy5wbGFjZXMudjEuUGxhY2VzLlNlYXJjaFRleHQQAhgEIAA</t>
        </is>
      </c>
    </row>
    <row r="42" ht="15" customHeight="1" s="27">
      <c r="A42" s="65" t="inlineStr">
        <is>
          <t>Aesthetics By Bronwen</t>
        </is>
      </c>
      <c r="B42" s="65" t="inlineStr">
        <is>
          <t>Beauty &amp; Wellness</t>
        </is>
      </c>
      <c r="C42" s="65" t="inlineStr">
        <is>
          <t>Western Cape</t>
        </is>
      </c>
      <c r="D42" s="65" t="inlineStr">
        <is>
          <t>Durbanville</t>
        </is>
      </c>
      <c r="E42" s="65" t="inlineStr"/>
      <c r="F42" s="65" t="inlineStr"/>
      <c r="G42" s="65" t="inlineStr"/>
      <c r="H42" s="65" t="inlineStr"/>
      <c r="I42" s="65" t="inlineStr">
        <is>
          <t>No</t>
        </is>
      </c>
      <c r="J42" s="65" t="inlineStr">
        <is>
          <t>Google Maps</t>
        </is>
      </c>
      <c r="K42" s="65" t="inlineStr">
        <is>
          <t>New Lead</t>
        </is>
      </c>
      <c r="L42" s="65" t="inlineStr">
        <is>
          <t>2026-04-04</t>
        </is>
      </c>
      <c r="M42" s="65" t="inlineStr"/>
      <c r="N42" s="40" t="inlineStr">
        <is>
          <t>5 stars | 10 reviews | Monday: 9:30 AM – 6:00 PM | Tuesday: Closed | Wednesday: 9:30 AM – 5:00 PM | https://maps.google.com/?cid=17404010385463475815&amp;g_mp=Cidnb29nbGUubWFwcy5wbGFjZXMudjEuUGxhY2VzLlNlYXJjaFRleHQQAhgEIAA</t>
        </is>
      </c>
      <c r="O42" s="23" t="inlineStr">
        <is>
          <t>Monday: 8:00 AM – 6:00 PM</t>
        </is>
      </c>
      <c r="P42" t="inlineStr">
        <is>
          <t>Tuesday: 8:00 AM – 6:00 PM</t>
        </is>
      </c>
      <c r="Q42" t="inlineStr">
        <is>
          <t>Wednesday: 8:00 AM – 6:00 PM</t>
        </is>
      </c>
      <c r="R42" t="inlineStr">
        <is>
          <t>https://maps.google.com/?cid=14897248119382333190&amp;g_mp=Cidnb29nbGUubWFwcy5wbGFjZXMudjEuUGxhY2VzLlNlYXJjaFRleHQQAhgEIAA</t>
        </is>
      </c>
    </row>
    <row r="43" ht="15" customHeight="1" s="27">
      <c r="A43" s="65" t="inlineStr">
        <is>
          <t>Domino's Pizza Halaal</t>
        </is>
      </c>
      <c r="B43" s="64" t="inlineStr">
        <is>
          <t>Food &amp; Hospitality</t>
        </is>
      </c>
      <c r="C43" s="64" t="inlineStr">
        <is>
          <t>KwaZulu-Natal</t>
        </is>
      </c>
      <c r="D43" s="64" t="inlineStr">
        <is>
          <t>Berea</t>
        </is>
      </c>
      <c r="E43" s="64" t="inlineStr"/>
      <c r="F43" s="64" t="inlineStr">
        <is>
          <t>082 667 6578</t>
        </is>
      </c>
      <c r="G43" s="64" t="inlineStr"/>
      <c r="H43" s="64" t="inlineStr"/>
      <c r="I43" s="64" t="inlineStr">
        <is>
          <t>No</t>
        </is>
      </c>
      <c r="J43" s="64" t="inlineStr">
        <is>
          <t>Google Maps</t>
        </is>
      </c>
      <c r="K43" s="64" t="inlineStr">
        <is>
          <t>New Lead</t>
        </is>
      </c>
      <c r="L43" s="64" t="inlineStr">
        <is>
          <t>2026-04-05</t>
        </is>
      </c>
      <c r="M43" s="64" t="inlineStr"/>
      <c r="N43" s="38" t="inlineStr">
        <is>
          <t>4.3 stars | 9 reviews | Monday: 10:30 AM – 9:00 PM | Tuesday: 10:30 AM – 9:00 PM | Wednesday: 10:30 AM – 9:00 PM | https://maps.google.com/?cid=9753225131831671488&amp;g_mp=Cidnb29nbGUubWFwcy5wbGFjZXMudjEuUGxhY2VzLlNlYXJjaFRleHQQAhgEIAA</t>
        </is>
      </c>
      <c r="O43" s="25" t="inlineStr">
        <is>
          <t>4.4 stars</t>
        </is>
      </c>
      <c r="P43" t="inlineStr">
        <is>
          <t>7 reviews</t>
        </is>
      </c>
      <c r="Q43" t="inlineStr">
        <is>
          <t>Monday: 8:00 AM – 6:00 PM</t>
        </is>
      </c>
      <c r="R43" t="inlineStr">
        <is>
          <t>Tuesday: 8:00 AM – 6:00 PM</t>
        </is>
      </c>
      <c r="S43" t="inlineStr">
        <is>
          <t>Wednesday: 8:00 AM – 6:00 PM</t>
        </is>
      </c>
      <c r="T43" t="inlineStr">
        <is>
          <t>https://maps.google.com/?cid=5270109972478496430&amp;g_mp=Cidnb29nbGUubWFwcy5wbGFjZXMudjEuUGxhY2VzLlNlYXJjaFRleHQQAhgEIAA</t>
        </is>
      </c>
    </row>
    <row r="44" ht="15" customHeight="1" s="27">
      <c r="A44" s="65" t="inlineStr">
        <is>
          <t>Maths Medic</t>
        </is>
      </c>
      <c r="B44" s="65" t="inlineStr">
        <is>
          <t>Professional Services</t>
        </is>
      </c>
      <c r="C44" s="65" t="inlineStr">
        <is>
          <t>Western Cape</t>
        </is>
      </c>
      <c r="D44" s="65" t="inlineStr">
        <is>
          <t>Table View</t>
        </is>
      </c>
      <c r="E44" s="65" t="inlineStr"/>
      <c r="F44" s="65" t="inlineStr">
        <is>
          <t>083 448 8090</t>
        </is>
      </c>
      <c r="G44" s="65" t="inlineStr"/>
      <c r="H44" s="65" t="inlineStr"/>
      <c r="I44" s="65" t="inlineStr">
        <is>
          <t>No</t>
        </is>
      </c>
      <c r="J44" s="65" t="inlineStr">
        <is>
          <t>Google Maps</t>
        </is>
      </c>
      <c r="K44" s="65" t="inlineStr">
        <is>
          <t>New Lead</t>
        </is>
      </c>
      <c r="L44" s="65" t="inlineStr">
        <is>
          <t>2026-04-05</t>
        </is>
      </c>
      <c r="M44" s="65" t="inlineStr"/>
      <c r="N44" s="40" t="inlineStr">
        <is>
          <t>4.8 stars | 36 reviews | Monday: 8:30 AM – 9:00 PM | Tuesday: 8:30 AM – 9:00 PM | Wednesday: 8:30 AM – 9:00 PM | https://maps.google.com/?cid=6923866599004797613&amp;g_mp=Cidnb29nbGUubWFwcy5wbGFjZXMudjEuUGxhY2VzLlNlYXJjaFRleHQQAhgEIAA</t>
        </is>
      </c>
      <c r="O44" s="23" t="inlineStr">
        <is>
          <t>4.7 stars</t>
        </is>
      </c>
      <c r="P44" t="inlineStr">
        <is>
          <t>51 reviews</t>
        </is>
      </c>
      <c r="Q44" t="inlineStr">
        <is>
          <t>Monday: Closed</t>
        </is>
      </c>
      <c r="R44" t="inlineStr">
        <is>
          <t>Tuesday: 8:30 AM – 5:30 PM</t>
        </is>
      </c>
      <c r="S44" t="inlineStr">
        <is>
          <t>Wednesday: 8:30 AM – 5:30 PM</t>
        </is>
      </c>
      <c r="T44" t="inlineStr">
        <is>
          <t>https://maps.google.com/?cid=9996602252040993430&amp;g_mp=Cidnb29nbGUubWFwcy5wbGFjZXMudjEuUGxhY2VzLlNlYXJjaFRleHQQAhgEIAA</t>
        </is>
      </c>
    </row>
    <row r="45" ht="15" customHeight="1" s="27">
      <c r="A45" s="65" t="inlineStr">
        <is>
          <t>Sandi's Home Based After care and homework assistance.</t>
        </is>
      </c>
      <c r="B45" s="64" t="inlineStr">
        <is>
          <t>Professional Services</t>
        </is>
      </c>
      <c r="C45" s="64" t="inlineStr">
        <is>
          <t>Western Cape</t>
        </is>
      </c>
      <c r="D45" s="64" t="inlineStr">
        <is>
          <t>Table View</t>
        </is>
      </c>
      <c r="E45" s="64" t="inlineStr"/>
      <c r="F45" s="64" t="inlineStr">
        <is>
          <t>076 148 8309</t>
        </is>
      </c>
      <c r="G45" s="64" t="inlineStr"/>
      <c r="H45" s="64" t="inlineStr"/>
      <c r="I45" s="64" t="inlineStr">
        <is>
          <t>No</t>
        </is>
      </c>
      <c r="J45" s="64" t="inlineStr">
        <is>
          <t>Google Maps</t>
        </is>
      </c>
      <c r="K45" s="64" t="inlineStr">
        <is>
          <t>New Lead</t>
        </is>
      </c>
      <c r="L45" s="64" t="inlineStr">
        <is>
          <t>2026-04-05</t>
        </is>
      </c>
      <c r="M45" s="64" t="inlineStr"/>
      <c r="N45" s="38" t="inlineStr">
        <is>
          <t>5 stars | 11 reviews | Monday: 1:30 – 5:15 PM | Tuesday: 1:30 – 5:15 PM | Wednesday: 1:30 – 5:15 PM | https://maps.google.com/?cid=8796849888630976869&amp;g_mp=Cidnb29nbGUubWFwcy5wbGFjZXMudjEuUGxhY2VzLlNlYXJjaFRleHQQAhgEIAA</t>
        </is>
      </c>
      <c r="O45" s="25" t="inlineStr">
        <is>
          <t>5 stars</t>
        </is>
      </c>
      <c r="P45" t="inlineStr">
        <is>
          <t>7 reviews</t>
        </is>
      </c>
      <c r="Q45" t="inlineStr">
        <is>
          <t>Monday: 8:00 AM – 5:00 PM</t>
        </is>
      </c>
      <c r="R45" t="inlineStr">
        <is>
          <t>Tuesday: 8:00 AM – 5:00 PM</t>
        </is>
      </c>
      <c r="S45" t="inlineStr">
        <is>
          <t>Wednesday: 8:00 AM – 5:00 PM</t>
        </is>
      </c>
      <c r="T45" t="inlineStr">
        <is>
          <t>https://maps.google.com/?cid=11195273710481422163&amp;g_mp=Cidnb29nbGUubWFwcy5wbGFjZXMudjEuUGxhY2VzLlNlYXJjaFRleHQQAhgEIAA</t>
        </is>
      </c>
    </row>
    <row r="46" ht="15" customHeight="1" s="27">
      <c r="A46" s="65" t="inlineStr">
        <is>
          <t>Dynamic Academy Tutoring Centre</t>
        </is>
      </c>
      <c r="B46" s="65" t="inlineStr">
        <is>
          <t>Professional Services</t>
        </is>
      </c>
      <c r="C46" s="65" t="inlineStr">
        <is>
          <t>Western Cape</t>
        </is>
      </c>
      <c r="D46" s="65" t="inlineStr">
        <is>
          <t>Table View</t>
        </is>
      </c>
      <c r="E46" s="65" t="inlineStr"/>
      <c r="F46" s="65" t="inlineStr">
        <is>
          <t>079 761 0789</t>
        </is>
      </c>
      <c r="G46" s="65" t="inlineStr"/>
      <c r="H46" s="65" t="inlineStr"/>
      <c r="I46" s="65" t="inlineStr">
        <is>
          <t>No</t>
        </is>
      </c>
      <c r="J46" s="65" t="inlineStr">
        <is>
          <t>Google Maps</t>
        </is>
      </c>
      <c r="K46" s="65" t="inlineStr">
        <is>
          <t>New Lead</t>
        </is>
      </c>
      <c r="L46" s="65" t="inlineStr">
        <is>
          <t>2026-04-05</t>
        </is>
      </c>
      <c r="M46" s="65" t="inlineStr"/>
      <c r="N46" s="40" t="inlineStr">
        <is>
          <t>2.8 stars | 6 reviews | Monday: 8:00 AM – 2:00 PM | Tuesday: 8:00 AM – 2:00 PM | Wednesday: 8:00 AM – 2:00 PM | https://maps.google.com/?cid=413935781571611112&amp;g_mp=Cidnb29nbGUubWFwcy5wbGFjZXMudjEuUGxhY2VzLlNlYXJjaFRleHQQAhgEIAA</t>
        </is>
      </c>
      <c r="O46" s="23" t="inlineStr">
        <is>
          <t>3.1 stars</t>
        </is>
      </c>
      <c r="P46" t="inlineStr">
        <is>
          <t>26 reviews</t>
        </is>
      </c>
      <c r="Q46" t="inlineStr">
        <is>
          <t>Monday: 5:00 AM – 8:00 PM</t>
        </is>
      </c>
      <c r="R46" t="inlineStr">
        <is>
          <t>Tuesday: 5:00 AM – 8:00 PM</t>
        </is>
      </c>
      <c r="S46" t="inlineStr">
        <is>
          <t>Wednesday: 5:00 AM – 8:00 PM</t>
        </is>
      </c>
      <c r="T46" t="inlineStr">
        <is>
          <t>https://maps.google.com/?cid=7646673530880212156&amp;g_mp=Cidnb29nbGUubWFwcy5wbGFjZXMudjEuUGxhY2VzLlNlYXJjaFRleHQQAhgEIAA</t>
        </is>
      </c>
    </row>
    <row r="47" ht="15" customHeight="1" s="27">
      <c r="A47" s="65" t="inlineStr">
        <is>
          <t>Math Science Boffin</t>
        </is>
      </c>
      <c r="B47" s="64" t="inlineStr">
        <is>
          <t>Professional Services</t>
        </is>
      </c>
      <c r="C47" s="64" t="inlineStr">
        <is>
          <t>Western Cape</t>
        </is>
      </c>
      <c r="D47" s="64" t="inlineStr">
        <is>
          <t>Table View</t>
        </is>
      </c>
      <c r="E47" s="64" t="inlineStr"/>
      <c r="F47" s="64" t="inlineStr">
        <is>
          <t>061 488 6697</t>
        </is>
      </c>
      <c r="G47" s="64" t="inlineStr"/>
      <c r="H47" s="64" t="inlineStr"/>
      <c r="I47" s="64" t="inlineStr">
        <is>
          <t>No</t>
        </is>
      </c>
      <c r="J47" s="64" t="inlineStr">
        <is>
          <t>Google Maps</t>
        </is>
      </c>
      <c r="K47" s="64" t="inlineStr">
        <is>
          <t>New Lead</t>
        </is>
      </c>
      <c r="L47" s="64" t="inlineStr">
        <is>
          <t>2026-04-05</t>
        </is>
      </c>
      <c r="M47" s="64" t="inlineStr"/>
      <c r="N47" s="38" t="inlineStr">
        <is>
          <t>Monday: 8:00 AM – 5:00 PM | Tuesday: 8:00 AM – 5:00 PM | Wednesday: 8:00 AM – 5:00 PM | https://maps.google.com/?cid=9959668364455373267&amp;g_mp=Cidnb29nbGUubWFwcy5wbGFjZXMudjEuUGxhY2VzLlNlYXJjaFRleHQQAhgEIAA</t>
        </is>
      </c>
      <c r="O47" s="25" t="inlineStr">
        <is>
          <t>4.9 stars</t>
        </is>
      </c>
      <c r="P47" t="inlineStr">
        <is>
          <t>39 reviews</t>
        </is>
      </c>
      <c r="Q47" t="inlineStr">
        <is>
          <t>Monday: 8:00 AM – 6:00 PM</t>
        </is>
      </c>
      <c r="R47" t="inlineStr">
        <is>
          <t>Tuesday: 8:00 AM – 6:00 PM</t>
        </is>
      </c>
      <c r="S47" t="inlineStr">
        <is>
          <t>Wednesday: 8:00 AM – 6:00 PM</t>
        </is>
      </c>
      <c r="T47" t="inlineStr">
        <is>
          <t>https://maps.google.com/?cid=3430920043768865908&amp;g_mp=Cidnb29nbGUubWFwcy5wbGFjZXMudjEuUGxhY2VzLlNlYXJjaFRleHQQAhgEIAA</t>
        </is>
      </c>
    </row>
    <row r="48" ht="15" customHeight="1" s="27">
      <c r="A48" s="65" t="inlineStr">
        <is>
          <t>Master Quest Tutors</t>
        </is>
      </c>
      <c r="B48" s="65" t="inlineStr">
        <is>
          <t>Professional Services</t>
        </is>
      </c>
      <c r="C48" s="65" t="inlineStr">
        <is>
          <t>Western Cape</t>
        </is>
      </c>
      <c r="D48" s="65" t="inlineStr">
        <is>
          <t>Table View</t>
        </is>
      </c>
      <c r="E48" s="65" t="inlineStr"/>
      <c r="F48" s="65" t="inlineStr">
        <is>
          <t>061 403 3144</t>
        </is>
      </c>
      <c r="G48" s="65" t="inlineStr"/>
      <c r="H48" s="65" t="inlineStr"/>
      <c r="I48" s="65" t="inlineStr">
        <is>
          <t>No</t>
        </is>
      </c>
      <c r="J48" s="65" t="inlineStr">
        <is>
          <t>Google Maps</t>
        </is>
      </c>
      <c r="K48" s="65" t="inlineStr">
        <is>
          <t>New Lead</t>
        </is>
      </c>
      <c r="L48" s="65" t="inlineStr">
        <is>
          <t>2026-04-05</t>
        </is>
      </c>
      <c r="M48" s="65" t="inlineStr"/>
      <c r="N48" s="40" t="inlineStr">
        <is>
          <t>Monday: 9:00 AM – 5:00 PM | Tuesday: 9:00 AM – 5:00 PM | Wednesday: 9:00 AM – 5:00 PM | https://maps.google.com/?cid=3801822804813934822&amp;g_mp=Cidnb29nbGUubWFwcy5wbGFjZXMudjEuUGxhY2VzLlNlYXJjaFRleHQQAhgEIAA</t>
        </is>
      </c>
      <c r="O48" s="23" t="inlineStr">
        <is>
          <t>5 stars</t>
        </is>
      </c>
      <c r="P48" t="inlineStr">
        <is>
          <t>8 reviews</t>
        </is>
      </c>
      <c r="Q48" t="inlineStr">
        <is>
          <t>Monday: 7:00 AM – 5:00 PM</t>
        </is>
      </c>
      <c r="R48" t="inlineStr">
        <is>
          <t>Tuesday: 7:00 AM – 5:00 PM</t>
        </is>
      </c>
      <c r="S48" t="inlineStr">
        <is>
          <t>Wednesday: 7:00 AM – 5:00 PM</t>
        </is>
      </c>
      <c r="T48" t="inlineStr">
        <is>
          <t>https://maps.google.com/?cid=14169825372449632753&amp;g_mp=Cidnb29nbGUubWFwcy5wbGFjZXMudjEuUGxhY2VzLlNlYXJjaFRleHQQAhgEIAA</t>
        </is>
      </c>
    </row>
    <row r="49" ht="15" customHeight="1" s="27">
      <c r="A49" s="65" t="inlineStr">
        <is>
          <t>TJVZ - 1519 Locksmiths and General Maintenance Services</t>
        </is>
      </c>
      <c r="B49" s="64" t="inlineStr">
        <is>
          <t>Trades &amp; Home Services</t>
        </is>
      </c>
      <c r="C49" s="64" t="inlineStr">
        <is>
          <t>Western Cape</t>
        </is>
      </c>
      <c r="D49" s="64" t="inlineStr">
        <is>
          <t>Durbanville</t>
        </is>
      </c>
      <c r="E49" s="64" t="inlineStr"/>
      <c r="F49" s="64" t="inlineStr">
        <is>
          <t>071 483 7953</t>
        </is>
      </c>
      <c r="G49" s="64" t="inlineStr"/>
      <c r="H49" s="64" t="inlineStr"/>
      <c r="I49" s="64" t="inlineStr">
        <is>
          <t>No</t>
        </is>
      </c>
      <c r="J49" s="64" t="inlineStr">
        <is>
          <t>Google Maps</t>
        </is>
      </c>
      <c r="K49" s="64" t="inlineStr">
        <is>
          <t>New Lead</t>
        </is>
      </c>
      <c r="L49" s="64" t="inlineStr">
        <is>
          <t>2026-04-05</t>
        </is>
      </c>
      <c r="M49" s="64" t="inlineStr"/>
      <c r="N49" s="38" t="inlineStr">
        <is>
          <t>5 stars | 6 reviews | Monday: Open 24 hours | Tuesday: Open 24 hours | Wednesday: Open 24 hours | https://maps.google.com/?cid=12468206334505191803&amp;g_mp=Cidnb29nbGUubWFwcy5wbGFjZXMudjEuUGxhY2VzLlNlYXJjaFRleHQQAhgEIAA</t>
        </is>
      </c>
      <c r="O49" s="25" t="inlineStr">
        <is>
          <t>5 stars</t>
        </is>
      </c>
      <c r="P49" t="inlineStr">
        <is>
          <t>1 reviews</t>
        </is>
      </c>
      <c r="Q49" t="inlineStr">
        <is>
          <t>https://maps.google.com/?cid=10800479966491336270&amp;g_mp=Cidnb29nbGUubWFwcy5wbGFjZXMudjEuUGxhY2VzLlNlYXJjaFRleHQQAhgEIAA</t>
        </is>
      </c>
    </row>
    <row r="50" ht="15" customHeight="1" s="27">
      <c r="A50" s="65" t="inlineStr">
        <is>
          <t>Prag Shoe Repairs And Locksmiths</t>
        </is>
      </c>
      <c r="B50" s="65" t="inlineStr">
        <is>
          <t>Trades &amp; Home Services</t>
        </is>
      </c>
      <c r="C50" s="65" t="inlineStr">
        <is>
          <t>Western Cape</t>
        </is>
      </c>
      <c r="D50" s="65" t="inlineStr">
        <is>
          <t>Durbanville</t>
        </is>
      </c>
      <c r="E50" s="65" t="inlineStr"/>
      <c r="F50" s="65" t="inlineStr">
        <is>
          <t>079 285 7645</t>
        </is>
      </c>
      <c r="G50" s="65" t="inlineStr"/>
      <c r="H50" s="65" t="inlineStr"/>
      <c r="I50" s="65" t="inlineStr">
        <is>
          <t>No</t>
        </is>
      </c>
      <c r="J50" s="65" t="inlineStr">
        <is>
          <t>Google Maps</t>
        </is>
      </c>
      <c r="K50" s="65" t="inlineStr">
        <is>
          <t>New Lead</t>
        </is>
      </c>
      <c r="L50" s="65" t="inlineStr">
        <is>
          <t>2026-04-05</t>
        </is>
      </c>
      <c r="M50" s="65" t="inlineStr"/>
      <c r="N50" s="40" t="inlineStr">
        <is>
          <t>4.6 stars | 35 reviews | Monday: 8:00 AM – 5:00 PM | Tuesday: 8:00 AM – 5:00 PM | Wednesday: 8:00 AM – 5:00 PM | https://maps.google.com/?cid=10981293976912651312&amp;g_mp=Cidnb29nbGUubWFwcy5wbGFjZXMudjEuUGxhY2VzLlNlYXJjaFRleHQQAhgEIAA</t>
        </is>
      </c>
      <c r="O50" s="23" t="inlineStr">
        <is>
          <t>5 stars</t>
        </is>
      </c>
      <c r="P50" t="inlineStr">
        <is>
          <t>15 reviews</t>
        </is>
      </c>
      <c r="Q50" t="inlineStr">
        <is>
          <t>Monday: 7:15 AM – 5:00 PM</t>
        </is>
      </c>
      <c r="R50" t="inlineStr">
        <is>
          <t>Tuesday: 7:15 AM – 5:00 PM</t>
        </is>
      </c>
      <c r="S50" t="inlineStr">
        <is>
          <t>Wednesday: 7:15 AM – 5:00 PM</t>
        </is>
      </c>
      <c r="T50" t="inlineStr">
        <is>
          <t>https://maps.google.com/?cid=12935967020425682446&amp;g_mp=Cidnb29nbGUubWFwcy5wbGFjZXMudjEuUGxhY2VzLlNlYXJjaFRleHQQAhgEIAA</t>
        </is>
      </c>
    </row>
    <row r="51" ht="15" customHeight="1" s="27">
      <c r="A51" s="65" t="inlineStr">
        <is>
          <t>Hatfield City Plumbers &amp; Electricians</t>
        </is>
      </c>
      <c r="B51" s="64" t="inlineStr">
        <is>
          <t>Trades &amp; Home Services</t>
        </is>
      </c>
      <c r="C51" s="64" t="inlineStr">
        <is>
          <t>Gauteng</t>
        </is>
      </c>
      <c r="D51" s="64" t="inlineStr">
        <is>
          <t>Hatfield</t>
        </is>
      </c>
      <c r="E51" s="64" t="inlineStr"/>
      <c r="F51" s="64" t="inlineStr">
        <is>
          <t>075 387 9410</t>
        </is>
      </c>
      <c r="G51" s="64" t="inlineStr"/>
      <c r="H51" s="64" t="inlineStr"/>
      <c r="I51" s="64" t="inlineStr">
        <is>
          <t>No</t>
        </is>
      </c>
      <c r="J51" s="64" t="inlineStr">
        <is>
          <t>Google Maps</t>
        </is>
      </c>
      <c r="K51" s="64" t="inlineStr">
        <is>
          <t>New Lead</t>
        </is>
      </c>
      <c r="L51" s="64" t="inlineStr">
        <is>
          <t>2026-04-08</t>
        </is>
      </c>
      <c r="M51" s="64" t="inlineStr"/>
      <c r="N51" s="38" t="inlineStr">
        <is>
          <t>5 stars | 9 reviews | Monday: Open 24 hours | Tuesday: Open 24 hours | Wednesday: Open 24 hours | https://maps.google.com/?cid=16535670141058677428&amp;g_mp=Cidnb29nbGUubWFwcy5wbGFjZXMudjEuUGxhY2VzLlNlYXJjaFRleHQQAhgEIAA</t>
        </is>
      </c>
      <c r="O51" s="3" t="n"/>
    </row>
    <row r="52">
      <c r="A52" s="65" t="inlineStr">
        <is>
          <t>N.U plumbers &amp; Electricians-Lynnwood</t>
        </is>
      </c>
      <c r="B52" s="65" t="inlineStr">
        <is>
          <t>Trades &amp; Home Services</t>
        </is>
      </c>
      <c r="C52" s="65" t="inlineStr">
        <is>
          <t>Gauteng</t>
        </is>
      </c>
      <c r="D52" s="65" t="inlineStr">
        <is>
          <t>Hatfield</t>
        </is>
      </c>
      <c r="E52" s="65" t="inlineStr"/>
      <c r="F52" s="65" t="inlineStr">
        <is>
          <t>060 378 9778</t>
        </is>
      </c>
      <c r="G52" s="65" t="inlineStr"/>
      <c r="H52" s="65" t="inlineStr"/>
      <c r="I52" s="65" t="inlineStr">
        <is>
          <t>No</t>
        </is>
      </c>
      <c r="J52" s="65" t="inlineStr">
        <is>
          <t>Google Maps</t>
        </is>
      </c>
      <c r="K52" s="65" t="inlineStr">
        <is>
          <t>New Lead</t>
        </is>
      </c>
      <c r="L52" s="65" t="inlineStr">
        <is>
          <t>2026-04-08</t>
        </is>
      </c>
      <c r="M52" s="65" t="inlineStr"/>
      <c r="N52" s="40" t="inlineStr">
        <is>
          <t>4.9 stars | 39 reviews | Monday: Open 24 hours | Tuesday: Open 24 hours | Wednesday: Open 24 hours | https://maps.google.com/?cid=6935163348323535180&amp;g_mp=Cidnb29nbGUubWFwcy5wbGFjZXMudjEuUGxhY2VzLlNlYXJjaFRleHQQAhgEIAA</t>
        </is>
      </c>
    </row>
    <row r="53">
      <c r="A53" s="65" t="inlineStr">
        <is>
          <t>Rats plumbing</t>
        </is>
      </c>
      <c r="B53" s="65" t="inlineStr">
        <is>
          <t>Trades &amp; Home Services</t>
        </is>
      </c>
      <c r="C53" s="65" t="inlineStr">
        <is>
          <t>Gauteng</t>
        </is>
      </c>
      <c r="D53" s="65" t="inlineStr">
        <is>
          <t>Hatfield</t>
        </is>
      </c>
      <c r="E53" s="65" t="inlineStr"/>
      <c r="F53" s="65" t="inlineStr">
        <is>
          <t>064 709 7289</t>
        </is>
      </c>
      <c r="G53" s="65" t="inlineStr"/>
      <c r="H53" s="65" t="inlineStr"/>
      <c r="I53" s="65" t="inlineStr">
        <is>
          <t>No</t>
        </is>
      </c>
      <c r="J53" s="65" t="inlineStr">
        <is>
          <t>Google Maps</t>
        </is>
      </c>
      <c r="K53" s="65" t="inlineStr">
        <is>
          <t>New Lead</t>
        </is>
      </c>
      <c r="L53" s="65" t="inlineStr">
        <is>
          <t>2026-04-08</t>
        </is>
      </c>
      <c r="M53" s="65" t="inlineStr"/>
      <c r="N53" s="40" t="inlineStr">
        <is>
          <t>https://maps.google.com/?cid=1535336020316692418&amp;g_mp=Cidnb29nbGUubWFwcy5wbGFjZXMudjEuUGxhY2VzLlNlYXJjaFRleHQQAhgEIAA</t>
        </is>
      </c>
    </row>
    <row r="54">
      <c r="A54" s="65" t="inlineStr">
        <is>
          <t>Ehlers Bernd Tiling &amp; Modernising CC</t>
        </is>
      </c>
      <c r="B54" s="65" t="inlineStr">
        <is>
          <t>Trades &amp; Home Services</t>
        </is>
      </c>
      <c r="C54" s="65" t="inlineStr">
        <is>
          <t>Gauteng</t>
        </is>
      </c>
      <c r="D54" s="65" t="inlineStr">
        <is>
          <t>Bryanston</t>
        </is>
      </c>
      <c r="E54" s="65" t="inlineStr"/>
      <c r="F54" s="65" t="inlineStr">
        <is>
          <t>011 614 6035</t>
        </is>
      </c>
      <c r="G54" s="65" t="inlineStr"/>
      <c r="H54" s="65" t="inlineStr"/>
      <c r="I54" s="65" t="inlineStr">
        <is>
          <t>No</t>
        </is>
      </c>
      <c r="J54" s="65" t="inlineStr">
        <is>
          <t>Google Maps</t>
        </is>
      </c>
      <c r="K54" s="65" t="inlineStr">
        <is>
          <t>New Lead</t>
        </is>
      </c>
      <c r="L54" s="65" t="inlineStr">
        <is>
          <t>2026-04-08</t>
        </is>
      </c>
      <c r="M54" s="65" t="inlineStr"/>
      <c r="N54" s="40" t="inlineStr">
        <is>
          <t>5 stars | 1 reviews | Monday: 8:00 AM – 5:00 PM | Tuesday: 8:00 AM – 5:00 PM | Wednesday: 8:00 AM – 5:00 PM | https://maps.google.com/?cid=12202758347105124936&amp;g_mp=Cidnb29nbGUubWFwcy5wbGFjZXMudjEuUGxhY2VzLlNlYXJjaFRleHQQAhgEIAA</t>
        </is>
      </c>
    </row>
    <row r="55">
      <c r="A55" s="65" t="inlineStr">
        <is>
          <t>Building &amp; Renovators Project, Plumber, Electrician, tiler, home renovations</t>
        </is>
      </c>
      <c r="B55" s="65" t="inlineStr">
        <is>
          <t>Trades &amp; Home Services</t>
        </is>
      </c>
      <c r="C55" s="65" t="inlineStr">
        <is>
          <t>Gauteng</t>
        </is>
      </c>
      <c r="D55" s="65" t="inlineStr">
        <is>
          <t>Bryanston</t>
        </is>
      </c>
      <c r="E55" s="65" t="inlineStr"/>
      <c r="F55" s="65" t="inlineStr">
        <is>
          <t>083 645 4329</t>
        </is>
      </c>
      <c r="G55" s="65" t="inlineStr"/>
      <c r="H55" s="65" t="inlineStr"/>
      <c r="I55" s="65" t="inlineStr">
        <is>
          <t>No</t>
        </is>
      </c>
      <c r="J55" s="65" t="inlineStr">
        <is>
          <t>Google Maps</t>
        </is>
      </c>
      <c r="K55" s="65" t="inlineStr">
        <is>
          <t>New Lead</t>
        </is>
      </c>
      <c r="L55" s="65" t="inlineStr">
        <is>
          <t>2026-04-08</t>
        </is>
      </c>
      <c r="M55" s="65" t="inlineStr"/>
      <c r="N55" s="40" t="inlineStr">
        <is>
          <t>5 stars | 1 reviews | Monday: 7:30 AM – 5:00 PM | Tuesday: 7:00 AM – 5:00 PM | Wednesday: 7:00 AM – 5:00 PM | https://maps.google.com/?cid=9731750060488759204&amp;g_mp=Cidnb29nbGUubWFwcy5wbGFjZXMudjEuUGxhY2VzLlNlYXJjaFRleHQQAhgEIAA</t>
        </is>
      </c>
    </row>
    <row r="56">
      <c r="A56" s="65" t="inlineStr">
        <is>
          <t>Tiling Services</t>
        </is>
      </c>
      <c r="B56" s="65" t="inlineStr">
        <is>
          <t>Trades &amp; Home Services</t>
        </is>
      </c>
      <c r="C56" s="65" t="inlineStr">
        <is>
          <t>Gauteng</t>
        </is>
      </c>
      <c r="D56" s="65" t="inlineStr">
        <is>
          <t>Bryanston</t>
        </is>
      </c>
      <c r="E56" s="65" t="inlineStr"/>
      <c r="F56" s="65" t="inlineStr">
        <is>
          <t>072 073 9856</t>
        </is>
      </c>
      <c r="G56" s="65" t="inlineStr"/>
      <c r="H56" s="65" t="inlineStr"/>
      <c r="I56" s="65" t="inlineStr">
        <is>
          <t>No</t>
        </is>
      </c>
      <c r="J56" s="65" t="inlineStr">
        <is>
          <t>Google Maps</t>
        </is>
      </c>
      <c r="K56" s="65" t="inlineStr">
        <is>
          <t>New Lead</t>
        </is>
      </c>
      <c r="L56" s="65" t="inlineStr">
        <is>
          <t>2026-04-08</t>
        </is>
      </c>
      <c r="M56" s="65" t="inlineStr"/>
      <c r="N56" s="40" t="inlineStr">
        <is>
          <t>5 stars | 1 reviews | https://maps.google.com/?cid=16091882776789115807&amp;g_mp=Cidnb29nbGUubWFwcy5wbGFjZXMudjEuUGxhY2VzLlNlYXJjaFRleHQQAhgEIAA</t>
        </is>
      </c>
    </row>
    <row r="57">
      <c r="A57" s="65" t="inlineStr">
        <is>
          <t>Zekuwe Tiling</t>
        </is>
      </c>
      <c r="B57" s="65" t="inlineStr">
        <is>
          <t>Trades &amp; Home Services</t>
        </is>
      </c>
      <c r="C57" s="65" t="inlineStr">
        <is>
          <t>Gauteng</t>
        </is>
      </c>
      <c r="D57" s="65" t="inlineStr">
        <is>
          <t>Bryanston</t>
        </is>
      </c>
      <c r="E57" s="65" t="inlineStr"/>
      <c r="F57" s="65" t="inlineStr">
        <is>
          <t>010 140 6510</t>
        </is>
      </c>
      <c r="G57" s="65" t="inlineStr"/>
      <c r="H57" s="65" t="inlineStr"/>
      <c r="I57" s="65" t="inlineStr">
        <is>
          <t>No</t>
        </is>
      </c>
      <c r="J57" s="65" t="inlineStr">
        <is>
          <t>Google Maps</t>
        </is>
      </c>
      <c r="K57" s="65" t="inlineStr">
        <is>
          <t>New Lead</t>
        </is>
      </c>
      <c r="L57" s="65" t="inlineStr">
        <is>
          <t>2026-04-08</t>
        </is>
      </c>
      <c r="M57" s="65" t="inlineStr"/>
      <c r="N57" s="40" t="inlineStr">
        <is>
          <t>https://maps.google.com/?cid=17154198375586397953&amp;g_mp=Cidnb29nbGUubWFwcy5wbGFjZXMudjEuUGxhY2VzLlNlYXJjaFRleHQQAhgEIAA</t>
        </is>
      </c>
    </row>
    <row r="58">
      <c r="A58" s="66" t="inlineStr">
        <is>
          <t>Werner’s Vleismark</t>
        </is>
      </c>
      <c r="B58" s="66" t="inlineStr">
        <is>
          <t>Food &amp; Hospitality</t>
        </is>
      </c>
      <c r="C58" s="66" t="inlineStr">
        <is>
          <t>Western Cape</t>
        </is>
      </c>
      <c r="D58" s="66" t="inlineStr">
        <is>
          <t>Strand</t>
        </is>
      </c>
      <c r="E58" s="66" t="inlineStr"/>
      <c r="F58" s="66" t="inlineStr">
        <is>
          <t>021 853 6605</t>
        </is>
      </c>
      <c r="G58" s="66" t="inlineStr"/>
      <c r="H58" s="66" t="inlineStr"/>
      <c r="I58" s="66" t="inlineStr">
        <is>
          <t>No</t>
        </is>
      </c>
      <c r="J58" s="66" t="inlineStr">
        <is>
          <t>Google Maps</t>
        </is>
      </c>
      <c r="K58" s="66" t="inlineStr">
        <is>
          <t>New Lead</t>
        </is>
      </c>
      <c r="L58" s="66" t="inlineStr">
        <is>
          <t>2026-04-08</t>
        </is>
      </c>
      <c r="M58" s="66" t="inlineStr"/>
      <c r="N58" s="40" t="inlineStr">
        <is>
          <t>4.6 stars | 639 reviews | Monday: 8:00 AM – 5:30 PM | Tuesday: 8:00 AM – 5:30 PM | Wednesday: 8:00 AM – 5:30 PM | https://maps.google.com/?cid=14139406209463898456&amp;g_mp=Cidnb29nbGUubWFwcy5wbGFjZXMudjEuUGxhY2VzLlNlYXJjaFRleHQQAhgEIAA</t>
        </is>
      </c>
    </row>
    <row r="59">
      <c r="A59" s="66" t="inlineStr">
        <is>
          <t>The Butcher's Market (TBM)</t>
        </is>
      </c>
      <c r="B59" s="66" t="inlineStr">
        <is>
          <t>Food &amp; Hospitality</t>
        </is>
      </c>
      <c r="C59" s="66" t="inlineStr">
        <is>
          <t>Western Cape</t>
        </is>
      </c>
      <c r="D59" s="66" t="inlineStr">
        <is>
          <t>Strand</t>
        </is>
      </c>
      <c r="E59" s="66" t="inlineStr"/>
      <c r="F59" s="66" t="inlineStr">
        <is>
          <t>021 565 0729</t>
        </is>
      </c>
      <c r="G59" s="66" t="inlineStr"/>
      <c r="H59" s="66" t="inlineStr"/>
      <c r="I59" s="66" t="inlineStr">
        <is>
          <t>No</t>
        </is>
      </c>
      <c r="J59" s="66" t="inlineStr">
        <is>
          <t>Google Maps</t>
        </is>
      </c>
      <c r="K59" s="66" t="inlineStr">
        <is>
          <t>New Lead</t>
        </is>
      </c>
      <c r="L59" s="66" t="inlineStr">
        <is>
          <t>2026-04-08</t>
        </is>
      </c>
      <c r="M59" s="66" t="inlineStr"/>
      <c r="N59" s="40" t="inlineStr">
        <is>
          <t>4.3 stars | 28 reviews | Monday: 8:30 AM – 5:30 PM | Tuesday: 8:30 AM – 5:30 PM | Wednesday: 8:30 AM – 5:30 PM | https://maps.google.com/?cid=15066010833509353965&amp;g_mp=Cidnb29nbGUubWFwcy5wbGFjZXMudjEuUGxhY2VzLlNlYXJjaFRleHQQAhgEIAA</t>
        </is>
      </c>
    </row>
    <row r="60">
      <c r="A60" s="66" t="inlineStr">
        <is>
          <t>W P Steyn Group - Vleis Groothandelaars Pty Ltd</t>
        </is>
      </c>
      <c r="B60" s="66" t="inlineStr">
        <is>
          <t>Food &amp; Hospitality</t>
        </is>
      </c>
      <c r="C60" s="66" t="inlineStr">
        <is>
          <t>Western Cape</t>
        </is>
      </c>
      <c r="D60" s="66" t="inlineStr">
        <is>
          <t>Strand</t>
        </is>
      </c>
      <c r="E60" s="66" t="inlineStr"/>
      <c r="F60" s="66" t="inlineStr">
        <is>
          <t>021 853 6605</t>
        </is>
      </c>
      <c r="G60" s="66" t="inlineStr"/>
      <c r="H60" s="66" t="inlineStr"/>
      <c r="I60" s="66" t="inlineStr">
        <is>
          <t>No</t>
        </is>
      </c>
      <c r="J60" s="66" t="inlineStr">
        <is>
          <t>Google Maps</t>
        </is>
      </c>
      <c r="K60" s="66" t="inlineStr">
        <is>
          <t>New Lead</t>
        </is>
      </c>
      <c r="L60" s="66" t="inlineStr">
        <is>
          <t>2026-04-08</t>
        </is>
      </c>
      <c r="M60" s="66" t="inlineStr"/>
      <c r="N60" s="40" t="inlineStr">
        <is>
          <t>4.8 stars | 57 reviews | Monday: 7:00 AM – 4:00 PM | Tuesday: 7:00 AM – 4:00 PM | Wednesday: 7:00 AM – 4:00 PM | https://maps.google.com/?cid=16140257758762724582&amp;g_mp=Cidnb29nbGUubWFwcy5wbGFjZXMudjEuUGxhY2VzLlNlYXJjaFRleHQQAhgEIAA</t>
        </is>
      </c>
    </row>
    <row r="61">
      <c r="A61" s="66" t="inlineStr">
        <is>
          <t>Roots Butchery Somerset Crossing</t>
        </is>
      </c>
      <c r="B61" s="66" t="inlineStr">
        <is>
          <t>Food &amp; Hospitality</t>
        </is>
      </c>
      <c r="C61" s="66" t="inlineStr">
        <is>
          <t>Western Cape</t>
        </is>
      </c>
      <c r="D61" s="66" t="inlineStr">
        <is>
          <t>Strand</t>
        </is>
      </c>
      <c r="E61" s="66" t="inlineStr"/>
      <c r="F61" s="66" t="inlineStr">
        <is>
          <t>022 007 0173</t>
        </is>
      </c>
      <c r="G61" s="66" t="inlineStr"/>
      <c r="H61" s="66" t="inlineStr"/>
      <c r="I61" s="66" t="inlineStr">
        <is>
          <t>No</t>
        </is>
      </c>
      <c r="J61" s="66" t="inlineStr">
        <is>
          <t>Google Maps</t>
        </is>
      </c>
      <c r="K61" s="66" t="inlineStr">
        <is>
          <t>New Lead</t>
        </is>
      </c>
      <c r="L61" s="66" t="inlineStr">
        <is>
          <t>2026-04-08</t>
        </is>
      </c>
      <c r="M61" s="66" t="inlineStr"/>
      <c r="N61" s="40" t="inlineStr">
        <is>
          <t>4.4 stars | 89 reviews | Monday: 9:00 AM – 7:00 PM | Tuesday: 9:00 AM – 7:00 PM | Wednesday: 9:00 AM – 7:00 PM | https://maps.google.com/?cid=3492656207435798340&amp;g_mp=Cidnb29nbGUubWFwcy5wbGFjZXMudjEuUGxhY2VzLlNlYXJjaFRleHQQAhgEIAA</t>
        </is>
      </c>
    </row>
    <row r="62">
      <c r="A62" s="66" t="inlineStr">
        <is>
          <t>Plaza Butchery</t>
        </is>
      </c>
      <c r="B62" s="66" t="inlineStr">
        <is>
          <t>Food &amp; Hospitality</t>
        </is>
      </c>
      <c r="C62" s="66" t="inlineStr">
        <is>
          <t>Western Cape</t>
        </is>
      </c>
      <c r="D62" s="66" t="inlineStr">
        <is>
          <t>Strand</t>
        </is>
      </c>
      <c r="E62" s="66" t="inlineStr"/>
      <c r="F62" s="66" t="inlineStr"/>
      <c r="G62" s="66" t="inlineStr"/>
      <c r="H62" s="66" t="inlineStr"/>
      <c r="I62" s="66" t="inlineStr">
        <is>
          <t>No</t>
        </is>
      </c>
      <c r="J62" s="66" t="inlineStr">
        <is>
          <t>Google Maps</t>
        </is>
      </c>
      <c r="K62" s="66" t="inlineStr">
        <is>
          <t>New Lead</t>
        </is>
      </c>
      <c r="L62" s="66" t="inlineStr">
        <is>
          <t>2026-04-08</t>
        </is>
      </c>
      <c r="M62" s="66" t="inlineStr"/>
      <c r="N62" s="40" t="inlineStr">
        <is>
          <t>4.3 stars | 6 reviews | Monday: 8:00 AM – 6:00 PM | Tuesday: 8:00 AM – 6:00 PM | Wednesday: 8:00 AM – 6:00 PM | https://maps.google.com/?cid=8109246463616847009&amp;g_mp=Cidnb29nbGUubWFwcy5wbGFjZXMudjEuUGxhY2VzLlNlYXJjaFRleHQQAhgEIAA</t>
        </is>
      </c>
    </row>
    <row r="63">
      <c r="A63" s="66" t="inlineStr">
        <is>
          <t>Strand Halal Butchery</t>
        </is>
      </c>
      <c r="B63" s="66" t="inlineStr">
        <is>
          <t>Food &amp; Hospitality</t>
        </is>
      </c>
      <c r="C63" s="66" t="inlineStr">
        <is>
          <t>Western Cape</t>
        </is>
      </c>
      <c r="D63" s="66" t="inlineStr">
        <is>
          <t>Strand</t>
        </is>
      </c>
      <c r="E63" s="66" t="inlineStr"/>
      <c r="F63" s="66" t="inlineStr"/>
      <c r="G63" s="66" t="inlineStr"/>
      <c r="H63" s="66" t="inlineStr"/>
      <c r="I63" s="66" t="inlineStr">
        <is>
          <t>No</t>
        </is>
      </c>
      <c r="J63" s="66" t="inlineStr">
        <is>
          <t>Google Maps</t>
        </is>
      </c>
      <c r="K63" s="66" t="inlineStr">
        <is>
          <t>New Lead</t>
        </is>
      </c>
      <c r="L63" s="66" t="inlineStr">
        <is>
          <t>2026-04-08</t>
        </is>
      </c>
      <c r="M63" s="66" t="inlineStr"/>
      <c r="N63" s="40" t="inlineStr">
        <is>
          <t>3 stars | 2 reviews | https://maps.google.com/?cid=9540165434278421163&amp;g_mp=Cidnb29nbGUubWFwcy5wbGFjZXMudjEuUGxhY2VzLlNlYXJjaFRleHQQAhgEIAA</t>
        </is>
      </c>
    </row>
    <row r="64">
      <c r="A64" s="66" t="inlineStr">
        <is>
          <t>G’s Biltong and Braai</t>
        </is>
      </c>
      <c r="B64" s="66" t="inlineStr">
        <is>
          <t>Food &amp; Hospitality</t>
        </is>
      </c>
      <c r="C64" s="66" t="inlineStr">
        <is>
          <t>Western Cape</t>
        </is>
      </c>
      <c r="D64" s="66" t="inlineStr">
        <is>
          <t>Strand</t>
        </is>
      </c>
      <c r="E64" s="66" t="inlineStr"/>
      <c r="F64" s="66" t="inlineStr">
        <is>
          <t>067 121 8643</t>
        </is>
      </c>
      <c r="G64" s="66" t="inlineStr"/>
      <c r="H64" s="66" t="inlineStr"/>
      <c r="I64" s="66" t="inlineStr">
        <is>
          <t>No</t>
        </is>
      </c>
      <c r="J64" s="66" t="inlineStr">
        <is>
          <t>Google Maps</t>
        </is>
      </c>
      <c r="K64" s="66" t="inlineStr">
        <is>
          <t>New Lead</t>
        </is>
      </c>
      <c r="L64" s="66" t="inlineStr">
        <is>
          <t>2026-04-08</t>
        </is>
      </c>
      <c r="M64" s="66" t="inlineStr"/>
      <c r="N64" s="40" t="inlineStr">
        <is>
          <t>4.7 stars | 78 reviews | Monday: 8:30 AM – 5:30 PM | Tuesday: 8:30 AM – 5:30 PM | Wednesday: 8:30 AM – 5:30 PM | https://maps.google.com/?cid=16866996133065796829&amp;g_mp=Cidnb29nbGUubWFwcy5wbGFjZXMudjEuUGxhY2VzLlNlYXJjaFRleHQQAhgEIAA</t>
        </is>
      </c>
    </row>
    <row r="65">
      <c r="A65" s="66" t="inlineStr">
        <is>
          <t>M.Y. Biltong &amp; Braai</t>
        </is>
      </c>
      <c r="B65" s="66" t="inlineStr">
        <is>
          <t>Food &amp; Hospitality</t>
        </is>
      </c>
      <c r="C65" s="66" t="inlineStr">
        <is>
          <t>Western Cape</t>
        </is>
      </c>
      <c r="D65" s="66" t="inlineStr">
        <is>
          <t>Strand</t>
        </is>
      </c>
      <c r="E65" s="66" t="inlineStr"/>
      <c r="F65" s="66" t="inlineStr">
        <is>
          <t>082 678 1720</t>
        </is>
      </c>
      <c r="G65" s="66" t="inlineStr"/>
      <c r="H65" s="66" t="inlineStr"/>
      <c r="I65" s="66" t="inlineStr">
        <is>
          <t>No</t>
        </is>
      </c>
      <c r="J65" s="66" t="inlineStr">
        <is>
          <t>Google Maps</t>
        </is>
      </c>
      <c r="K65" s="66" t="inlineStr">
        <is>
          <t>New Lead</t>
        </is>
      </c>
      <c r="L65" s="66" t="inlineStr">
        <is>
          <t>2026-04-08</t>
        </is>
      </c>
      <c r="M65" s="66" t="inlineStr"/>
      <c r="N65" s="40" t="inlineStr">
        <is>
          <t>4.5 stars | 56 reviews | Monday: 8:00 AM – 5:30 PM | Tuesday: 8:00 AM – 5:30 PM | Wednesday: 8:00 AM – 5:30 PM | https://maps.google.com/?cid=13692482145099582452&amp;g_mp=Cidnb29nbGUubWFwcy5wbGFjZXMudjEuUGxhY2VzLlNlYXJjaFRleHQQAhgEIAA</t>
        </is>
      </c>
    </row>
    <row r="66">
      <c r="A66" s="66" t="inlineStr">
        <is>
          <t>Hectic Biltong</t>
        </is>
      </c>
      <c r="B66" s="66" t="inlineStr">
        <is>
          <t>Food &amp; Hospitality</t>
        </is>
      </c>
      <c r="C66" s="66" t="inlineStr">
        <is>
          <t>Western Cape</t>
        </is>
      </c>
      <c r="D66" s="66" t="inlineStr">
        <is>
          <t>Strand</t>
        </is>
      </c>
      <c r="E66" s="66" t="inlineStr"/>
      <c r="F66" s="66" t="inlineStr">
        <is>
          <t>021 854 8603</t>
        </is>
      </c>
      <c r="G66" s="66" t="inlineStr"/>
      <c r="H66" s="66" t="inlineStr"/>
      <c r="I66" s="66" t="inlineStr">
        <is>
          <t>No</t>
        </is>
      </c>
      <c r="J66" s="66" t="inlineStr">
        <is>
          <t>Google Maps</t>
        </is>
      </c>
      <c r="K66" s="66" t="inlineStr">
        <is>
          <t>New Lead</t>
        </is>
      </c>
      <c r="L66" s="66" t="inlineStr">
        <is>
          <t>2026-04-08</t>
        </is>
      </c>
      <c r="M66" s="66" t="inlineStr"/>
      <c r="N66" s="40" t="inlineStr">
        <is>
          <t>4.7 stars | 27 reviews | Monday: 8:30 AM – 6:00 PM | Tuesday: 8:30 AM – 6:00 PM | Wednesday: 8:30 AM – 6:00 PM | https://maps.google.com/?cid=15072989852552512999&amp;g_mp=Cidnb29nbGUubWFwcy5wbGFjZXMudjEuUGxhY2VzLlNlYXJjaFRleHQQAhgEIAA</t>
        </is>
      </c>
    </row>
  </sheetData>
  <autoFilter ref="B4:O4"/>
  <mergeCells count="2">
    <mergeCell ref="B1:O1"/>
    <mergeCell ref="B2:O2"/>
  </mergeCells>
  <dataValidations count="5">
    <dataValidation sqref="C5:C197" showDropDown="0" showInputMessage="0" showErrorMessage="0" allowBlank="1" error="Pick from the list" prompt="Select industry" type="list">
      <formula1>"Trades &amp; Home Services,Beauty &amp; Wellness,Food &amp; Hospitality,Professional Services,Other"</formula1>
      <formula2>0</formula2>
    </dataValidation>
    <dataValidation sqref="D5:D197" showDropDown="0" showInputMessage="0" showErrorMessage="0" allowBlank="1" type="list">
      <formula1>"Gauteng,Western Cape,KwaZulu-Natal,Eastern Cape,Free State,Mpumalanga,Limpopo,North West,Northern Cape"</formula1>
      <formula2>0</formula2>
    </dataValidation>
    <dataValidation sqref="J5:J197" showDropDown="0" showInputMessage="0" showErrorMessage="0" allowBlank="1" type="list">
      <formula1>"No,Yes - broken,Yes - outdated,Yes - fine (skip)"</formula1>
      <formula2>0</formula2>
    </dataValidation>
    <dataValidation sqref="K5:K197" showDropDown="0" showInputMessage="0" showErrorMessage="0" allowBlank="1" type="list">
      <formula1>"Google Maps,Facebook,Instagram,Gumtree,Yellow Pages,Snupit,Yoco Directory,WhatsApp Group,Word of Mouth,Walk-by,Other"</formula1>
      <formula2>0</formula2>
    </dataValidation>
    <dataValidation sqref="L5:L197" showDropDown="0" showInputMessage="0" showErrorMessage="0" allowBlank="1" type="list">
      <formula1>"New Lead,Contacted,Interested,Demo Sent,Negotiating,Won - Paid,Lost,Not Reachable"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4"/>
  <cols>
    <col width="30" customWidth="1" style="27" min="1" max="1"/>
    <col width="20" customWidth="1" style="27" min="2" max="5"/>
    <col width="12" customWidth="1" style="27" min="6" max="7"/>
  </cols>
  <sheetData>
    <row r="1" ht="36" customHeight="1" s="27">
      <c r="A1" s="28" t="inlineStr">
        <is>
          <t>Pipeline Dashboard</t>
        </is>
      </c>
    </row>
    <row r="2" ht="15" customHeight="1" s="27">
      <c r="A2" s="26" t="inlineStr">
        <is>
          <t>Auto-calculated from the Lead Tracker sheet. Just keep your tracker updated.</t>
        </is>
      </c>
    </row>
    <row r="4" ht="24" customHeight="1" s="27">
      <c r="A4" s="4" t="inlineStr">
        <is>
          <t>Total Leads</t>
        </is>
      </c>
      <c r="B4" s="4" t="inlineStr">
        <is>
          <t>Contacted</t>
        </is>
      </c>
      <c r="C4" s="4" t="inlineStr">
        <is>
          <t>Interested</t>
        </is>
      </c>
      <c r="D4" s="4" t="inlineStr">
        <is>
          <t>Won (Paid)</t>
        </is>
      </c>
      <c r="E4" s="4" t="inlineStr">
        <is>
          <t>Lost</t>
        </is>
      </c>
      <c r="F4" s="4" t="inlineStr">
        <is>
          <t>Conversion Rate</t>
        </is>
      </c>
    </row>
    <row r="5" ht="43.5" customHeight="1" s="27">
      <c r="A5" s="5">
        <f>COUNTA('Lead Tracker'!B5:B197)</f>
        <v/>
      </c>
      <c r="B5" s="5">
        <f>COUNTIF('Lead Tracker'!L5:L197,"Contacted")+COUNTIF('Lead Tracker'!L5:L197,"Interested")+COUNTIF('Lead Tracker'!L5:L197,"Demo Sent")+COUNTIF('Lead Tracker'!L5:L197,"Negotiating")+COUNTIF('Lead Tracker'!L5:L197,"Won - Paid")+COUNTIF('Lead Tracker'!L5:L197,"Lost")</f>
        <v/>
      </c>
      <c r="C5" s="5">
        <f>COUNTIF('Lead Tracker'!L5:L197,"Interested")+COUNTIF('Lead Tracker'!L5:L197,"Demo Sent")+COUNTIF('Lead Tracker'!L5:L197,"Negotiating")+COUNTIF('Lead Tracker'!L5:L197,"Won - Paid")</f>
        <v/>
      </c>
      <c r="D5" s="5">
        <f>COUNTIF('Lead Tracker'!L5:L197,"Won - Paid")</f>
        <v/>
      </c>
      <c r="E5" s="5">
        <f>COUNTIF('Lead Tracker'!L5:L197,"Lost")</f>
        <v/>
      </c>
      <c r="F5" s="6">
        <f>IF(B5=0,"—",D5/B5)</f>
        <v/>
      </c>
    </row>
    <row r="7" ht="15" customHeight="1" s="27">
      <c r="A7" s="29" t="inlineStr">
        <is>
          <t>Leads by Industry</t>
        </is>
      </c>
      <c r="E7" s="29" t="inlineStr">
        <is>
          <t>Leads by Source</t>
        </is>
      </c>
    </row>
    <row r="8" ht="15" customHeight="1" s="27">
      <c r="A8" s="7" t="inlineStr">
        <is>
          <t>Industry</t>
        </is>
      </c>
      <c r="B8" s="7" t="inlineStr">
        <is>
          <t>Count</t>
        </is>
      </c>
      <c r="C8" s="7" t="inlineStr">
        <is>
          <t>Won</t>
        </is>
      </c>
      <c r="E8" s="7" t="inlineStr">
        <is>
          <t>Source</t>
        </is>
      </c>
      <c r="F8" s="7" t="inlineStr">
        <is>
          <t>Count</t>
        </is>
      </c>
      <c r="G8" s="7" t="inlineStr">
        <is>
          <t>Won</t>
        </is>
      </c>
    </row>
    <row r="9" ht="15" customHeight="1" s="27">
      <c r="A9" s="8" t="inlineStr">
        <is>
          <t>Trades &amp; Home Services</t>
        </is>
      </c>
      <c r="B9" s="9">
        <f>COUNTIF('Lead Tracker'!C5:C197,"Trades &amp; Home Services")</f>
        <v/>
      </c>
      <c r="C9" s="10">
        <f>COUNTIFS('Lead Tracker'!C5:C197,"Trades &amp; Home Services",'Lead Tracker'!L5:L197,"Won - Paid")</f>
        <v/>
      </c>
      <c r="E9" s="8" t="inlineStr">
        <is>
          <t>Google Maps</t>
        </is>
      </c>
      <c r="F9" s="9">
        <f>COUNTIF('Lead Tracker'!K5:K197,"Google Maps")</f>
        <v/>
      </c>
      <c r="G9" s="10">
        <f>COUNTIFS('Lead Tracker'!K5:K197,"Google Maps",'Lead Tracker'!L5:L197,"Won - Paid")</f>
        <v/>
      </c>
    </row>
    <row r="10" ht="15" customHeight="1" s="27">
      <c r="A10" s="8" t="inlineStr">
        <is>
          <t>Beauty &amp; Wellness</t>
        </is>
      </c>
      <c r="B10" s="9">
        <f>COUNTIF('Lead Tracker'!C5:C197,"Beauty &amp; Wellness")</f>
        <v/>
      </c>
      <c r="C10" s="10">
        <f>COUNTIFS('Lead Tracker'!C5:C197,"Beauty &amp; Wellness",'Lead Tracker'!L5:L197,"Won - Paid")</f>
        <v/>
      </c>
      <c r="E10" s="8" t="inlineStr">
        <is>
          <t>Facebook</t>
        </is>
      </c>
      <c r="F10" s="9">
        <f>COUNTIF('Lead Tracker'!K5:K197,"Facebook")</f>
        <v/>
      </c>
      <c r="G10" s="10">
        <f>COUNTIFS('Lead Tracker'!K5:K197,"Facebook",'Lead Tracker'!L5:L197,"Won - Paid")</f>
        <v/>
      </c>
    </row>
    <row r="11" ht="15" customHeight="1" s="27">
      <c r="A11" s="8" t="inlineStr">
        <is>
          <t>Food &amp; Hospitality</t>
        </is>
      </c>
      <c r="B11" s="9">
        <f>COUNTIF('Lead Tracker'!C5:C197,"Food &amp; Hospitality")</f>
        <v/>
      </c>
      <c r="C11" s="10">
        <f>COUNTIFS('Lead Tracker'!C5:C197,"Food &amp; Hospitality",'Lead Tracker'!L5:L197,"Won - Paid")</f>
        <v/>
      </c>
      <c r="E11" s="8" t="inlineStr">
        <is>
          <t>Instagram</t>
        </is>
      </c>
      <c r="F11" s="9">
        <f>COUNTIF('Lead Tracker'!K5:K197,"Instagram")</f>
        <v/>
      </c>
      <c r="G11" s="10">
        <f>COUNTIFS('Lead Tracker'!K5:K197,"Instagram",'Lead Tracker'!L5:L197,"Won - Paid")</f>
        <v/>
      </c>
    </row>
    <row r="12" ht="15" customHeight="1" s="27">
      <c r="A12" s="8" t="inlineStr">
        <is>
          <t>Professional Services</t>
        </is>
      </c>
      <c r="B12" s="9">
        <f>COUNTIF('Lead Tracker'!C5:C197,"Professional Services")</f>
        <v/>
      </c>
      <c r="C12" s="10">
        <f>COUNTIFS('Lead Tracker'!C5:C197,"Professional Services",'Lead Tracker'!L5:L197,"Won - Paid")</f>
        <v/>
      </c>
      <c r="E12" s="8" t="inlineStr">
        <is>
          <t>Gumtree</t>
        </is>
      </c>
      <c r="F12" s="9">
        <f>COUNTIF('Lead Tracker'!K5:K197,"Gumtree")</f>
        <v/>
      </c>
      <c r="G12" s="10">
        <f>COUNTIFS('Lead Tracker'!K5:K197,"Gumtree",'Lead Tracker'!L5:L197,"Won - Paid")</f>
        <v/>
      </c>
    </row>
    <row r="13" ht="15" customHeight="1" s="27">
      <c r="A13" s="8" t="inlineStr">
        <is>
          <t>Other</t>
        </is>
      </c>
      <c r="B13" s="9">
        <f>COUNTIF('Lead Tracker'!C5:C197,"Other")</f>
        <v/>
      </c>
      <c r="C13" s="10">
        <f>COUNTIFS('Lead Tracker'!C5:C197,"Other",'Lead Tracker'!L5:L197,"Won - Paid")</f>
        <v/>
      </c>
      <c r="E13" s="8" t="inlineStr">
        <is>
          <t>WhatsApp Group</t>
        </is>
      </c>
      <c r="F13" s="9">
        <f>COUNTIF('Lead Tracker'!K5:K197,"WhatsApp Group")</f>
        <v/>
      </c>
      <c r="G13" s="10">
        <f>COUNTIFS('Lead Tracker'!K5:K197,"WhatsApp Group",'Lead Tracker'!L5:L197,"Won - Paid")</f>
        <v/>
      </c>
    </row>
    <row r="14" ht="15" customHeight="1" s="27">
      <c r="E14" s="8" t="inlineStr">
        <is>
          <t>Word of Mouth</t>
        </is>
      </c>
      <c r="F14" s="9">
        <f>COUNTIF('Lead Tracker'!K5:K197,"Word of Mouth")</f>
        <v/>
      </c>
      <c r="G14" s="10">
        <f>COUNTIFS('Lead Tracker'!K5:K197,"Word of Mouth",'Lead Tracker'!L5:L197,"Won - Paid")</f>
        <v/>
      </c>
    </row>
    <row r="15" ht="15" customHeight="1" s="27">
      <c r="E15" s="8" t="inlineStr">
        <is>
          <t>Other</t>
        </is>
      </c>
      <c r="F15" s="9">
        <f>COUNTIF('Lead Tracker'!K5:K197,"Other")</f>
        <v/>
      </c>
      <c r="G15" s="10">
        <f>COUNTIFS('Lead Tracker'!K5:K197,"Other",'Lead Tracker'!L5:L197,"Won - Paid")</f>
        <v/>
      </c>
    </row>
    <row r="17" ht="15" customHeight="1" s="27">
      <c r="A17" s="29" t="inlineStr">
        <is>
          <t>Revenue Projection</t>
        </is>
      </c>
    </row>
    <row r="18" ht="15" customHeight="1" s="27">
      <c r="A18" s="7" t="inlineStr">
        <is>
          <t>Metric</t>
        </is>
      </c>
      <c r="B18" s="7" t="inlineStr">
        <is>
          <t>Value</t>
        </is>
      </c>
    </row>
    <row r="19" ht="15" customHeight="1" s="27">
      <c r="A19" s="8" t="inlineStr">
        <is>
          <t>Build fee per client (R)</t>
        </is>
      </c>
      <c r="B19" s="11" t="n">
        <v>2000</v>
      </c>
    </row>
    <row r="20" ht="15" customHeight="1" s="27">
      <c r="A20" s="8" t="inlineStr">
        <is>
          <t>Monthly hosting fee (R)</t>
        </is>
      </c>
      <c r="B20" s="11" t="n">
        <v>250</v>
      </c>
    </row>
    <row r="21" ht="15" customHeight="1" s="27">
      <c r="A21" s="8" t="inlineStr">
        <is>
          <t>Clients won</t>
        </is>
      </c>
      <c r="B21" s="9">
        <f>D5</f>
        <v/>
      </c>
    </row>
    <row r="22" ht="15" customHeight="1" s="27">
      <c r="A22" s="8" t="inlineStr">
        <is>
          <t>Once-off revenue (R)</t>
        </is>
      </c>
      <c r="B22" s="9">
        <f>B19*B21</f>
        <v/>
      </c>
    </row>
    <row r="23" ht="15" customHeight="1" s="27">
      <c r="A23" s="8" t="inlineStr">
        <is>
          <t>Monthly recurring revenue (R)</t>
        </is>
      </c>
      <c r="B23" s="9">
        <f>B20*B21</f>
        <v/>
      </c>
    </row>
    <row r="24" ht="15" customHeight="1" s="27">
      <c r="A24" s="8" t="inlineStr">
        <is>
          <t>Projected annual recurring (R)</t>
        </is>
      </c>
      <c r="B24" s="9">
        <f>B23*12</f>
        <v/>
      </c>
    </row>
    <row r="25" ht="15.75" customHeight="1" s="27">
      <c r="A25" s="8" t="inlineStr">
        <is>
          <t>Year 1 total revenue (R)</t>
        </is>
      </c>
      <c r="B25" s="12">
        <f>B22+B24</f>
        <v/>
      </c>
    </row>
  </sheetData>
  <mergeCells count="5">
    <mergeCell ref="A2:F2"/>
    <mergeCell ref="A17:D17"/>
    <mergeCell ref="A1:F1"/>
    <mergeCell ref="A7:C7"/>
    <mergeCell ref="E7:G7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8.6640625" defaultRowHeight="14.4"/>
  <cols>
    <col width="14" customWidth="1" style="27" min="1" max="1"/>
    <col width="22" customWidth="1" style="27" min="2" max="2"/>
    <col width="26" customWidth="1" style="27" min="3" max="3"/>
    <col width="36" customWidth="1" style="27" min="4" max="4"/>
    <col width="16" customWidth="1" style="27" min="5" max="5"/>
  </cols>
  <sheetData>
    <row r="1" ht="36" customHeight="1" s="27">
      <c r="A1" s="30" t="inlineStr">
        <is>
          <t>Weekly Search Rotation</t>
        </is>
      </c>
    </row>
    <row r="2" ht="15" customHeight="1" s="27">
      <c r="A2" s="26" t="inlineStr">
        <is>
          <t>Follow this schedule daily. 30 minutes a day builds a serious pipeline.</t>
        </is>
      </c>
    </row>
    <row r="4" ht="15" customHeight="1" s="27">
      <c r="A4" s="13" t="inlineStr">
        <is>
          <t>Day</t>
        </is>
      </c>
      <c r="B4" s="13" t="inlineStr">
        <is>
          <t>Channel</t>
        </is>
      </c>
      <c r="C4" s="13" t="inlineStr">
        <is>
          <t>Industry Focus</t>
        </is>
      </c>
      <c r="D4" s="13" t="inlineStr">
        <is>
          <t>Areas to Search</t>
        </is>
      </c>
      <c r="E4" s="13" t="inlineStr">
        <is>
          <t>Target Leads</t>
        </is>
      </c>
    </row>
    <row r="5" ht="27.75" customHeight="1" s="27">
      <c r="A5" s="14" t="inlineStr">
        <is>
          <t>Monday</t>
        </is>
      </c>
      <c r="B5" s="14" t="inlineStr">
        <is>
          <t>Google Maps</t>
        </is>
      </c>
      <c r="C5" s="14" t="inlineStr">
        <is>
          <t>Trades &amp; Home Services</t>
        </is>
      </c>
      <c r="D5" s="14" t="inlineStr">
        <is>
          <t>Pick 3 suburbs in Gauteng</t>
        </is>
      </c>
      <c r="E5" s="15" t="inlineStr">
        <is>
          <t>6-8</t>
        </is>
      </c>
    </row>
    <row r="6" ht="27.75" customHeight="1" s="27">
      <c r="A6" s="16" t="inlineStr">
        <is>
          <t>Tuesday</t>
        </is>
      </c>
      <c r="B6" s="16" t="inlineStr">
        <is>
          <t>Facebook Pages</t>
        </is>
      </c>
      <c r="C6" s="16" t="inlineStr">
        <is>
          <t>Beauty &amp; Wellness</t>
        </is>
      </c>
      <c r="D6" s="16" t="inlineStr">
        <is>
          <t>Pick 2 cities in Western Cape + KZN</t>
        </is>
      </c>
      <c r="E6" s="17" t="inlineStr">
        <is>
          <t>4-6</t>
        </is>
      </c>
    </row>
    <row r="7" ht="27.75" customHeight="1" s="27">
      <c r="A7" s="14" t="inlineStr">
        <is>
          <t>Wednesday</t>
        </is>
      </c>
      <c r="B7" s="14" t="inlineStr">
        <is>
          <t>Google Maps</t>
        </is>
      </c>
      <c r="C7" s="14" t="inlineStr">
        <is>
          <t>Food &amp; Hospitality</t>
        </is>
      </c>
      <c r="D7" s="14" t="inlineStr">
        <is>
          <t>Pick 3 suburbs in KZN / Eastern Cape</t>
        </is>
      </c>
      <c r="E7" s="15" t="inlineStr">
        <is>
          <t>6-8</t>
        </is>
      </c>
    </row>
    <row r="8" ht="27.75" customHeight="1" s="27">
      <c r="A8" s="16" t="inlineStr">
        <is>
          <t>Thursday</t>
        </is>
      </c>
      <c r="B8" s="16" t="inlineStr">
        <is>
          <t>Instagram + Gumtree</t>
        </is>
      </c>
      <c r="C8" s="16" t="inlineStr">
        <is>
          <t>Professional Services</t>
        </is>
      </c>
      <c r="D8" s="16" t="inlineStr">
        <is>
          <t>Nationwide — use hashtags + categories</t>
        </is>
      </c>
      <c r="E8" s="17" t="inlineStr">
        <is>
          <t>5-7</t>
        </is>
      </c>
    </row>
    <row r="9" ht="27.75" customHeight="1" s="27">
      <c r="A9" s="14" t="inlineStr">
        <is>
          <t>Friday</t>
        </is>
      </c>
      <c r="B9" s="14" t="inlineStr">
        <is>
          <t>Directories (rotate)</t>
        </is>
      </c>
      <c r="C9" s="14" t="inlineStr">
        <is>
          <t>All — review tracker</t>
        </is>
      </c>
      <c r="D9" s="14" t="inlineStr">
        <is>
          <t>Yellow Pages / Snupit / Yoco</t>
        </is>
      </c>
      <c r="E9" s="15" t="inlineStr">
        <is>
          <t>3-5</t>
        </is>
      </c>
    </row>
    <row r="10" ht="27.75" customHeight="1" s="27">
      <c r="A10" s="16" t="inlineStr">
        <is>
          <t>Saturday</t>
        </is>
      </c>
      <c r="B10" s="16" t="inlineStr">
        <is>
          <t>Walk-by + word of mouth</t>
        </is>
      </c>
      <c r="C10" s="16" t="inlineStr">
        <is>
          <t>Any opportunity</t>
        </is>
      </c>
      <c r="D10" s="16" t="inlineStr">
        <is>
          <t>Your local area + community groups</t>
        </is>
      </c>
      <c r="E10" s="17" t="inlineStr">
        <is>
          <t>2-4</t>
        </is>
      </c>
    </row>
    <row r="11" ht="27.75" customHeight="1" s="27">
      <c r="A11" s="14" t="inlineStr">
        <is>
          <t>Sunday</t>
        </is>
      </c>
      <c r="B11" s="14" t="inlineStr">
        <is>
          <t>Rest / follow-ups</t>
        </is>
      </c>
      <c r="C11" s="14" t="inlineStr">
        <is>
          <t>—</t>
        </is>
      </c>
      <c r="D11" s="14" t="inlineStr">
        <is>
          <t>Review tracker, plan next week</t>
        </is>
      </c>
      <c r="E11" s="15" t="inlineStr">
        <is>
          <t>—</t>
        </is>
      </c>
    </row>
  </sheetData>
  <mergeCells count="2">
    <mergeCell ref="A2:E2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2026-04-03T20:39:12Z</dcterms:created>
  <dcterms:modified xmlns:dcterms="http://purl.org/dc/terms/" xmlns:xsi="http://www.w3.org/2001/XMLSchema-instance" xsi:type="dcterms:W3CDTF">2026-04-08T08:59:35Z</dcterms:modified>
  <cp:lastModifiedBy>Connor Cress</cp:lastModifiedBy>
  <cp:revision>0</cp:revision>
</cp:coreProperties>
</file>